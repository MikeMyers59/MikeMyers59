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315" windowWidth="14805" windowHeight="8010" activeTab="2"/>
  </bookViews>
  <sheets>
    <sheet name="ASCII Control" sheetId="4" r:id="rId1"/>
    <sheet name="Bin-Dec-Hex" sheetId="5" r:id="rId2"/>
    <sheet name="Constants" sheetId="18" r:id="rId3"/>
    <sheet name="File Extensions" sheetId="14" r:id="rId4"/>
    <sheet name="Letters" sheetId="15" r:id="rId5"/>
    <sheet name="Measurements" sheetId="17" r:id="rId6"/>
    <sheet name="Modifiers" sheetId="19" r:id="rId7"/>
    <sheet name="Operators" sheetId="13" r:id="rId8"/>
    <sheet name="Ports" sheetId="12" r:id="rId9"/>
    <sheet name="Random Data" sheetId="11" r:id="rId10"/>
    <sheet name="Special Characters" sheetId="10" r:id="rId11"/>
    <sheet name="Subnetting" sheetId="8" r:id="rId12"/>
    <sheet name="...CIDR Addressing" sheetId="9" r:id="rId13"/>
    <sheet name="Sudoku Blank" sheetId="7" r:id="rId14"/>
    <sheet name="VB Keywords" sheetId="6" r:id="rId15"/>
  </sheets>
  <externalReferences>
    <externalReference r:id="rId16"/>
  </externalReferences>
  <definedNames>
    <definedName name="ZipCodeTable">[1]!Table1[#All]</definedName>
  </definedNames>
  <calcPr calcId="162913"/>
</workbook>
</file>

<file path=xl/calcChain.xml><?xml version="1.0" encoding="utf-8"?>
<calcChain xmlns="http://schemas.openxmlformats.org/spreadsheetml/2006/main">
  <c r="L5" i="11" l="1"/>
  <c r="L6" i="11"/>
  <c r="L7" i="11"/>
  <c r="L8" i="11"/>
  <c r="L9" i="11"/>
  <c r="L10" i="11"/>
  <c r="L11" i="11"/>
  <c r="L12" i="11"/>
  <c r="L13" i="11"/>
  <c r="L14" i="11"/>
  <c r="L15" i="11"/>
  <c r="L16" i="11"/>
  <c r="B17" i="11"/>
  <c r="C17" i="11"/>
  <c r="D17" i="11"/>
  <c r="E17" i="11"/>
  <c r="F17" i="11"/>
  <c r="G17" i="11"/>
  <c r="H17" i="11"/>
  <c r="I17" i="11"/>
  <c r="J17" i="11"/>
  <c r="K17" i="11"/>
  <c r="B18" i="11"/>
  <c r="C18" i="11"/>
  <c r="D18" i="11"/>
  <c r="E18" i="11"/>
  <c r="F18" i="11"/>
  <c r="G18" i="11"/>
  <c r="H18" i="11"/>
  <c r="I18" i="11"/>
  <c r="J18" i="11"/>
  <c r="K18" i="11"/>
  <c r="B2" i="10"/>
  <c r="C2" i="10"/>
  <c r="D2" i="10"/>
  <c r="E2" i="10"/>
  <c r="B3" i="10"/>
  <c r="C3" i="10"/>
  <c r="D3" i="10"/>
  <c r="E3" i="10"/>
  <c r="B4" i="10"/>
  <c r="C4" i="10"/>
  <c r="D4" i="10"/>
  <c r="E4" i="10"/>
  <c r="B5" i="10"/>
  <c r="C5" i="10"/>
  <c r="D5" i="10"/>
  <c r="E5" i="10"/>
  <c r="B6" i="10"/>
  <c r="C6" i="10"/>
  <c r="D6" i="10"/>
  <c r="E6" i="10"/>
  <c r="B7" i="10"/>
  <c r="C7" i="10"/>
  <c r="D7" i="10"/>
  <c r="E7" i="10"/>
  <c r="B8" i="10"/>
  <c r="C8" i="10"/>
  <c r="D8" i="10"/>
  <c r="E8" i="10"/>
  <c r="B9" i="10"/>
  <c r="C9" i="10"/>
  <c r="D9" i="10"/>
  <c r="E9" i="10"/>
  <c r="B10" i="10"/>
  <c r="C10" i="10"/>
  <c r="D10" i="10"/>
  <c r="E10" i="10"/>
  <c r="B11" i="10"/>
  <c r="C11" i="10"/>
  <c r="D11" i="10"/>
  <c r="E11" i="10"/>
  <c r="B12" i="10"/>
  <c r="C12" i="10"/>
  <c r="D12" i="10"/>
  <c r="E12" i="10"/>
  <c r="B13" i="10"/>
  <c r="C13" i="10"/>
  <c r="D13" i="10"/>
  <c r="E13" i="10"/>
  <c r="B14" i="10"/>
  <c r="C14" i="10"/>
  <c r="D14" i="10"/>
  <c r="E14" i="10"/>
  <c r="B15" i="10"/>
  <c r="C15" i="10"/>
  <c r="D15" i="10"/>
  <c r="E15" i="10"/>
  <c r="B16" i="10"/>
  <c r="C16" i="10"/>
  <c r="D16" i="10"/>
  <c r="E16" i="10"/>
  <c r="B17" i="10"/>
  <c r="C17" i="10"/>
  <c r="D17" i="10"/>
  <c r="E17" i="10"/>
  <c r="B18" i="10"/>
  <c r="C18" i="10"/>
  <c r="D18" i="10"/>
  <c r="E18" i="10"/>
  <c r="B19" i="10"/>
  <c r="C19" i="10"/>
  <c r="D19" i="10"/>
  <c r="E19" i="10"/>
  <c r="B20" i="10"/>
  <c r="C20" i="10"/>
  <c r="D20" i="10"/>
  <c r="E20" i="10"/>
  <c r="B21" i="10"/>
  <c r="C21" i="10"/>
  <c r="D21" i="10"/>
  <c r="E21" i="10"/>
  <c r="B22" i="10"/>
  <c r="C22" i="10"/>
  <c r="D22" i="10"/>
  <c r="E22" i="10"/>
  <c r="B23" i="10"/>
  <c r="C23" i="10"/>
  <c r="D23" i="10"/>
  <c r="E23" i="10"/>
  <c r="B24" i="10"/>
  <c r="C24" i="10"/>
  <c r="D24" i="10"/>
  <c r="E24" i="10"/>
  <c r="B25" i="10"/>
  <c r="C25" i="10"/>
  <c r="D25" i="10"/>
  <c r="E25" i="10"/>
  <c r="B26" i="10"/>
  <c r="C26" i="10"/>
  <c r="D26" i="10"/>
  <c r="E26" i="10"/>
  <c r="B27" i="10"/>
  <c r="C27" i="10"/>
  <c r="D27" i="10"/>
  <c r="E27" i="10"/>
  <c r="B28" i="10"/>
  <c r="C28" i="10"/>
  <c r="D28" i="10"/>
  <c r="E28" i="10"/>
  <c r="B29" i="10"/>
  <c r="C29" i="10"/>
  <c r="D29" i="10"/>
  <c r="E29" i="10"/>
  <c r="B30" i="10"/>
  <c r="C30" i="10"/>
  <c r="D30" i="10"/>
  <c r="E30" i="10"/>
  <c r="B31" i="10"/>
  <c r="C31" i="10"/>
  <c r="D31" i="10"/>
  <c r="E31" i="10"/>
  <c r="B32" i="10"/>
  <c r="C32" i="10"/>
  <c r="D32" i="10"/>
  <c r="E32" i="10"/>
  <c r="B33" i="10"/>
  <c r="C33" i="10"/>
  <c r="D33" i="10"/>
  <c r="E33" i="10"/>
  <c r="B34" i="10"/>
  <c r="C34" i="10"/>
  <c r="D34" i="10"/>
  <c r="E34" i="10"/>
  <c r="B35" i="10"/>
  <c r="C35" i="10"/>
  <c r="D35" i="10"/>
  <c r="E35" i="10"/>
  <c r="B36" i="10"/>
  <c r="C36" i="10"/>
  <c r="D36" i="10"/>
  <c r="E36" i="10"/>
  <c r="B37" i="10"/>
  <c r="C37" i="10"/>
  <c r="D37" i="10"/>
  <c r="E37" i="10"/>
  <c r="B38" i="10"/>
  <c r="C38" i="10"/>
  <c r="D38" i="10"/>
  <c r="E38" i="10"/>
  <c r="B39" i="10"/>
  <c r="C39" i="10"/>
  <c r="D39" i="10"/>
  <c r="E39" i="10"/>
  <c r="B40" i="10"/>
  <c r="C40" i="10"/>
  <c r="D40" i="10"/>
  <c r="E40" i="10"/>
  <c r="B41" i="10"/>
  <c r="C41" i="10"/>
  <c r="D41" i="10"/>
  <c r="E41" i="10"/>
  <c r="B42" i="10"/>
  <c r="C42" i="10"/>
  <c r="D42" i="10"/>
  <c r="E42" i="10"/>
  <c r="B43" i="10"/>
  <c r="C43" i="10"/>
  <c r="D43" i="10"/>
  <c r="E43" i="10"/>
  <c r="B44" i="10"/>
  <c r="C44" i="10"/>
  <c r="D44" i="10"/>
  <c r="E44" i="10"/>
  <c r="B45" i="10"/>
  <c r="C45" i="10"/>
  <c r="D45" i="10"/>
  <c r="E45" i="10"/>
  <c r="B46" i="10"/>
  <c r="C46" i="10"/>
  <c r="D46" i="10"/>
  <c r="E46" i="10"/>
  <c r="B47" i="10"/>
  <c r="C47" i="10"/>
  <c r="D47" i="10"/>
  <c r="E47" i="10"/>
  <c r="B48" i="10"/>
  <c r="C48" i="10"/>
  <c r="D48" i="10"/>
  <c r="E48" i="10"/>
  <c r="B49" i="10"/>
  <c r="C49" i="10"/>
  <c r="D49" i="10"/>
  <c r="E49" i="10"/>
  <c r="B50" i="10"/>
  <c r="C50" i="10"/>
  <c r="D50" i="10"/>
  <c r="E50" i="10"/>
  <c r="B51" i="10"/>
  <c r="C51" i="10"/>
  <c r="D51" i="10"/>
  <c r="E51" i="10"/>
  <c r="B52" i="10"/>
  <c r="C52" i="10"/>
  <c r="D52" i="10"/>
  <c r="E52" i="10"/>
  <c r="B53" i="10"/>
  <c r="C53" i="10"/>
  <c r="D53" i="10"/>
  <c r="E53" i="10"/>
  <c r="B54" i="10"/>
  <c r="C54" i="10"/>
  <c r="D54" i="10"/>
  <c r="E54" i="10"/>
  <c r="B55" i="10"/>
  <c r="C55" i="10"/>
  <c r="D55" i="10"/>
  <c r="E55" i="10"/>
  <c r="B56" i="10"/>
  <c r="C56" i="10"/>
  <c r="D56" i="10"/>
  <c r="E56" i="10"/>
  <c r="B57" i="10"/>
  <c r="C57" i="10"/>
  <c r="D57" i="10"/>
  <c r="E57" i="10"/>
  <c r="B58" i="10"/>
  <c r="C58" i="10"/>
  <c r="D58" i="10"/>
  <c r="E58" i="10"/>
  <c r="B59" i="10"/>
  <c r="C59" i="10"/>
  <c r="D59" i="10"/>
  <c r="E59" i="10"/>
  <c r="B60" i="10"/>
  <c r="C60" i="10"/>
  <c r="D60" i="10"/>
  <c r="E60" i="10"/>
  <c r="B61" i="10"/>
  <c r="C61" i="10"/>
  <c r="D61" i="10"/>
  <c r="E61" i="10"/>
  <c r="B62" i="10"/>
  <c r="C62" i="10"/>
  <c r="D62" i="10"/>
  <c r="E62" i="10"/>
  <c r="B63" i="10"/>
  <c r="C63" i="10"/>
  <c r="D63" i="10"/>
  <c r="E63" i="10"/>
  <c r="B64" i="10"/>
  <c r="C64" i="10"/>
  <c r="D64" i="10"/>
  <c r="E64" i="10"/>
  <c r="B65" i="10"/>
  <c r="C65" i="10"/>
  <c r="D65" i="10"/>
  <c r="E65" i="10"/>
  <c r="B66" i="10"/>
  <c r="C66" i="10"/>
  <c r="D66" i="10"/>
  <c r="E66" i="10"/>
  <c r="B67" i="10"/>
  <c r="C67" i="10"/>
  <c r="D67" i="10"/>
  <c r="E67" i="10"/>
  <c r="B68" i="10"/>
  <c r="C68" i="10"/>
  <c r="D68" i="10"/>
  <c r="E68" i="10"/>
  <c r="B69" i="10"/>
  <c r="C69" i="10"/>
  <c r="D69" i="10"/>
  <c r="E69" i="10"/>
  <c r="B70" i="10"/>
  <c r="C70" i="10"/>
  <c r="D70" i="10"/>
  <c r="E70" i="10"/>
  <c r="B71" i="10"/>
  <c r="C71" i="10"/>
  <c r="D71" i="10"/>
  <c r="E71" i="10"/>
  <c r="B72" i="10"/>
  <c r="C72" i="10"/>
  <c r="D72" i="10"/>
  <c r="E72" i="10"/>
  <c r="B73" i="10"/>
  <c r="C73" i="10"/>
  <c r="D73" i="10"/>
  <c r="E73" i="10"/>
  <c r="B74" i="10"/>
  <c r="C74" i="10"/>
  <c r="D74" i="10"/>
  <c r="E74" i="10"/>
  <c r="B75" i="10"/>
  <c r="C75" i="10"/>
  <c r="D75" i="10"/>
  <c r="E75" i="10"/>
  <c r="B76" i="10"/>
  <c r="C76" i="10"/>
  <c r="D76" i="10"/>
  <c r="E76" i="10"/>
  <c r="B77" i="10"/>
  <c r="C77" i="10"/>
  <c r="D77" i="10"/>
  <c r="E77" i="10"/>
  <c r="B78" i="10"/>
  <c r="C78" i="10"/>
  <c r="D78" i="10"/>
  <c r="E78" i="10"/>
  <c r="B79" i="10"/>
  <c r="C79" i="10"/>
  <c r="D79" i="10"/>
  <c r="E79" i="10"/>
  <c r="B80" i="10"/>
  <c r="C80" i="10"/>
  <c r="D80" i="10"/>
  <c r="E80" i="10"/>
  <c r="B81" i="10"/>
  <c r="C81" i="10"/>
  <c r="D81" i="10"/>
  <c r="E81" i="10"/>
  <c r="B82" i="10"/>
  <c r="C82" i="10"/>
  <c r="D82" i="10"/>
  <c r="E82" i="10"/>
  <c r="B83" i="10"/>
  <c r="C83" i="10"/>
  <c r="D83" i="10"/>
  <c r="E83" i="10"/>
  <c r="B84" i="10"/>
  <c r="C84" i="10"/>
  <c r="D84" i="10"/>
  <c r="E84" i="10"/>
  <c r="B85" i="10"/>
  <c r="C85" i="10"/>
  <c r="D85" i="10"/>
  <c r="E85" i="10"/>
  <c r="B86" i="10"/>
  <c r="C86" i="10"/>
  <c r="D86" i="10"/>
  <c r="E86" i="10"/>
  <c r="B87" i="10"/>
  <c r="C87" i="10"/>
  <c r="D87" i="10"/>
  <c r="E87" i="10"/>
  <c r="B88" i="10"/>
  <c r="C88" i="10"/>
  <c r="D88" i="10"/>
  <c r="E88" i="10"/>
  <c r="B89" i="10"/>
  <c r="C89" i="10"/>
  <c r="D89" i="10"/>
  <c r="E89" i="10"/>
  <c r="B90" i="10"/>
  <c r="C90" i="10"/>
  <c r="D90" i="10"/>
  <c r="E90" i="10"/>
  <c r="B91" i="10"/>
  <c r="C91" i="10"/>
  <c r="D91" i="10"/>
  <c r="E91" i="10"/>
  <c r="B92" i="10"/>
  <c r="C92" i="10"/>
  <c r="D92" i="10"/>
  <c r="E92" i="10"/>
  <c r="B93" i="10"/>
  <c r="C93" i="10"/>
  <c r="D93" i="10"/>
  <c r="E93" i="10"/>
  <c r="B94" i="10"/>
  <c r="C94" i="10"/>
  <c r="D94" i="10"/>
  <c r="E94" i="10"/>
  <c r="B95" i="10"/>
  <c r="C95" i="10"/>
  <c r="D95" i="10"/>
  <c r="E95" i="10"/>
  <c r="B96" i="10"/>
  <c r="C96" i="10"/>
  <c r="D96" i="10"/>
  <c r="E96" i="10"/>
  <c r="B97" i="10"/>
  <c r="C97" i="10"/>
  <c r="D97" i="10"/>
  <c r="E97" i="10"/>
  <c r="B98" i="10"/>
  <c r="C98" i="10"/>
  <c r="D98" i="10"/>
  <c r="E98" i="10"/>
  <c r="B99" i="10"/>
  <c r="C99" i="10"/>
  <c r="D99" i="10"/>
  <c r="E99" i="10"/>
  <c r="B100" i="10"/>
  <c r="C100" i="10"/>
  <c r="D100" i="10"/>
  <c r="E100" i="10"/>
  <c r="B101" i="10"/>
  <c r="C101" i="10"/>
  <c r="D101" i="10"/>
  <c r="E101" i="10"/>
  <c r="B102" i="10"/>
  <c r="C102" i="10"/>
  <c r="D102" i="10"/>
  <c r="E102" i="10"/>
  <c r="B103" i="10"/>
  <c r="C103" i="10"/>
  <c r="D103" i="10"/>
  <c r="E103" i="10"/>
  <c r="B104" i="10"/>
  <c r="C104" i="10"/>
  <c r="D104" i="10"/>
  <c r="E104" i="10"/>
  <c r="B105" i="10"/>
  <c r="C105" i="10"/>
  <c r="D105" i="10"/>
  <c r="E105" i="10"/>
  <c r="B106" i="10"/>
  <c r="C106" i="10"/>
  <c r="D106" i="10"/>
  <c r="E106" i="10"/>
  <c r="B107" i="10"/>
  <c r="C107" i="10"/>
  <c r="D107" i="10"/>
  <c r="E107" i="10"/>
  <c r="B108" i="10"/>
  <c r="C108" i="10"/>
  <c r="D108" i="10"/>
  <c r="E108" i="10"/>
  <c r="B109" i="10"/>
  <c r="C109" i="10"/>
  <c r="D109" i="10"/>
  <c r="E109" i="10"/>
  <c r="B110" i="10"/>
  <c r="C110" i="10"/>
  <c r="D110" i="10"/>
  <c r="E110" i="10"/>
  <c r="B111" i="10"/>
  <c r="C111" i="10"/>
  <c r="D111" i="10"/>
  <c r="E111" i="10"/>
  <c r="B112" i="10"/>
  <c r="C112" i="10"/>
  <c r="D112" i="10"/>
  <c r="E112" i="10"/>
  <c r="B113" i="10"/>
  <c r="C113" i="10"/>
  <c r="D113" i="10"/>
  <c r="E113" i="10"/>
  <c r="B114" i="10"/>
  <c r="C114" i="10"/>
  <c r="D114" i="10"/>
  <c r="E114" i="10"/>
  <c r="B115" i="10"/>
  <c r="C115" i="10"/>
  <c r="D115" i="10"/>
  <c r="E115" i="10"/>
  <c r="B116" i="10"/>
  <c r="C116" i="10"/>
  <c r="D116" i="10"/>
  <c r="E116" i="10"/>
  <c r="B117" i="10"/>
  <c r="C117" i="10"/>
  <c r="D117" i="10"/>
  <c r="E117" i="10"/>
  <c r="B118" i="10"/>
  <c r="C118" i="10"/>
  <c r="D118" i="10"/>
  <c r="E118" i="10"/>
  <c r="B119" i="10"/>
  <c r="C119" i="10"/>
  <c r="D119" i="10"/>
  <c r="E119" i="10"/>
  <c r="B120" i="10"/>
  <c r="C120" i="10"/>
  <c r="D120" i="10"/>
  <c r="E120" i="10"/>
  <c r="B121" i="10"/>
  <c r="C121" i="10"/>
  <c r="D121" i="10"/>
  <c r="E121" i="10"/>
  <c r="B122" i="10"/>
  <c r="C122" i="10"/>
  <c r="D122" i="10"/>
  <c r="E122" i="10"/>
  <c r="B123" i="10"/>
  <c r="C123" i="10"/>
  <c r="D123" i="10"/>
  <c r="E123" i="10"/>
  <c r="B124" i="10"/>
  <c r="C124" i="10"/>
  <c r="D124" i="10"/>
  <c r="E124" i="10"/>
  <c r="B125" i="10"/>
  <c r="C125" i="10"/>
  <c r="D125" i="10"/>
  <c r="E125" i="10"/>
  <c r="B126" i="10"/>
  <c r="C126" i="10"/>
  <c r="D126" i="10"/>
  <c r="E126" i="10"/>
  <c r="B127" i="10"/>
  <c r="C127" i="10"/>
  <c r="D127" i="10"/>
  <c r="E127" i="10"/>
  <c r="B128" i="10"/>
  <c r="C128" i="10"/>
  <c r="D128" i="10"/>
  <c r="E128" i="10"/>
  <c r="B129" i="10"/>
  <c r="C129" i="10"/>
  <c r="D129" i="10"/>
  <c r="E129" i="10"/>
  <c r="B130" i="10"/>
  <c r="C130" i="10"/>
  <c r="D130" i="10"/>
  <c r="E130" i="10"/>
  <c r="B131" i="10"/>
  <c r="C131" i="10"/>
  <c r="D131" i="10"/>
  <c r="E131" i="10"/>
  <c r="B132" i="10"/>
  <c r="C132" i="10"/>
  <c r="D132" i="10"/>
  <c r="E132" i="10"/>
  <c r="B133" i="10"/>
  <c r="C133" i="10"/>
  <c r="D133" i="10"/>
  <c r="E133" i="10"/>
  <c r="B134" i="10"/>
  <c r="C134" i="10"/>
  <c r="D134" i="10"/>
  <c r="E134" i="10"/>
  <c r="B135" i="10"/>
  <c r="C135" i="10"/>
  <c r="D135" i="10"/>
  <c r="E135" i="10"/>
  <c r="B136" i="10"/>
  <c r="C136" i="10"/>
  <c r="D136" i="10"/>
  <c r="E136" i="10"/>
  <c r="B137" i="10"/>
  <c r="C137" i="10"/>
  <c r="D137" i="10"/>
  <c r="E137" i="10"/>
  <c r="B138" i="10"/>
  <c r="C138" i="10"/>
  <c r="D138" i="10"/>
  <c r="E138" i="10"/>
  <c r="B139" i="10"/>
  <c r="C139" i="10"/>
  <c r="D139" i="10"/>
  <c r="E139" i="10"/>
  <c r="B140" i="10"/>
  <c r="C140" i="10"/>
  <c r="D140" i="10"/>
  <c r="E140" i="10"/>
  <c r="B141" i="10"/>
  <c r="C141" i="10"/>
  <c r="D141" i="10"/>
  <c r="E141" i="10"/>
  <c r="B142" i="10"/>
  <c r="C142" i="10"/>
  <c r="D142" i="10"/>
  <c r="E142" i="10"/>
  <c r="B143" i="10"/>
  <c r="C143" i="10"/>
  <c r="D143" i="10"/>
  <c r="E143" i="10"/>
  <c r="B144" i="10"/>
  <c r="C144" i="10"/>
  <c r="D144" i="10"/>
  <c r="E144" i="10"/>
  <c r="B145" i="10"/>
  <c r="C145" i="10"/>
  <c r="D145" i="10"/>
  <c r="E145" i="10"/>
  <c r="B146" i="10"/>
  <c r="C146" i="10"/>
  <c r="D146" i="10"/>
  <c r="E146" i="10"/>
  <c r="B147" i="10"/>
  <c r="C147" i="10"/>
  <c r="D147" i="10"/>
  <c r="E147" i="10"/>
  <c r="B148" i="10"/>
  <c r="C148" i="10"/>
  <c r="D148" i="10"/>
  <c r="E148" i="10"/>
  <c r="B149" i="10"/>
  <c r="C149" i="10"/>
  <c r="D149" i="10"/>
  <c r="E149" i="10"/>
  <c r="B150" i="10"/>
  <c r="C150" i="10"/>
  <c r="D150" i="10"/>
  <c r="E150" i="10"/>
  <c r="B151" i="10"/>
  <c r="C151" i="10"/>
  <c r="D151" i="10"/>
  <c r="E151" i="10"/>
  <c r="B152" i="10"/>
  <c r="C152" i="10"/>
  <c r="D152" i="10"/>
  <c r="E152" i="10"/>
  <c r="B153" i="10"/>
  <c r="C153" i="10"/>
  <c r="D153" i="10"/>
  <c r="E153" i="10"/>
  <c r="B154" i="10"/>
  <c r="C154" i="10"/>
  <c r="D154" i="10"/>
  <c r="E154" i="10"/>
  <c r="B155" i="10"/>
  <c r="C155" i="10"/>
  <c r="D155" i="10"/>
  <c r="E155" i="10"/>
  <c r="B156" i="10"/>
  <c r="C156" i="10"/>
  <c r="D156" i="10"/>
  <c r="E156" i="10"/>
  <c r="B157" i="10"/>
  <c r="C157" i="10"/>
  <c r="D157" i="10"/>
  <c r="E157" i="10"/>
  <c r="B158" i="10"/>
  <c r="C158" i="10"/>
  <c r="D158" i="10"/>
  <c r="E158" i="10"/>
  <c r="B159" i="10"/>
  <c r="C159" i="10"/>
  <c r="D159" i="10"/>
  <c r="E159" i="10"/>
  <c r="B160" i="10"/>
  <c r="C160" i="10"/>
  <c r="D160" i="10"/>
  <c r="E160" i="10"/>
  <c r="B161" i="10"/>
  <c r="C161" i="10"/>
  <c r="D161" i="10"/>
  <c r="E161" i="10"/>
  <c r="B162" i="10"/>
  <c r="C162" i="10"/>
  <c r="D162" i="10"/>
  <c r="E162" i="10"/>
  <c r="B163" i="10"/>
  <c r="C163" i="10"/>
  <c r="D163" i="10"/>
  <c r="E163" i="10"/>
  <c r="B164" i="10"/>
  <c r="C164" i="10"/>
  <c r="D164" i="10"/>
  <c r="E164" i="10"/>
  <c r="B165" i="10"/>
  <c r="C165" i="10"/>
  <c r="D165" i="10"/>
  <c r="E165" i="10"/>
  <c r="B166" i="10"/>
  <c r="C166" i="10"/>
  <c r="D166" i="10"/>
  <c r="E166" i="10"/>
  <c r="B167" i="10"/>
  <c r="C167" i="10"/>
  <c r="D167" i="10"/>
  <c r="E167" i="10"/>
  <c r="B168" i="10"/>
  <c r="C168" i="10"/>
  <c r="D168" i="10"/>
  <c r="E168" i="10"/>
  <c r="B169" i="10"/>
  <c r="C169" i="10"/>
  <c r="D169" i="10"/>
  <c r="E169" i="10"/>
  <c r="B170" i="10"/>
  <c r="C170" i="10"/>
  <c r="D170" i="10"/>
  <c r="E170" i="10"/>
  <c r="B171" i="10"/>
  <c r="C171" i="10"/>
  <c r="D171" i="10"/>
  <c r="E171" i="10"/>
  <c r="B172" i="10"/>
  <c r="C172" i="10"/>
  <c r="D172" i="10"/>
  <c r="E172" i="10"/>
  <c r="B173" i="10"/>
  <c r="C173" i="10"/>
  <c r="D173" i="10"/>
  <c r="E173" i="10"/>
  <c r="B174" i="10"/>
  <c r="C174" i="10"/>
  <c r="D174" i="10"/>
  <c r="E174" i="10"/>
  <c r="B175" i="10"/>
  <c r="C175" i="10"/>
  <c r="D175" i="10"/>
  <c r="E175" i="10"/>
  <c r="B176" i="10"/>
  <c r="C176" i="10"/>
  <c r="D176" i="10"/>
  <c r="E176" i="10"/>
  <c r="B177" i="10"/>
  <c r="C177" i="10"/>
  <c r="D177" i="10"/>
  <c r="E177" i="10"/>
  <c r="B178" i="10"/>
  <c r="C178" i="10"/>
  <c r="D178" i="10"/>
  <c r="E178" i="10"/>
  <c r="B179" i="10"/>
  <c r="C179" i="10"/>
  <c r="D179" i="10"/>
  <c r="E179" i="10"/>
  <c r="B180" i="10"/>
  <c r="C180" i="10"/>
  <c r="D180" i="10"/>
  <c r="E180" i="10"/>
  <c r="B181" i="10"/>
  <c r="C181" i="10"/>
  <c r="D181" i="10"/>
  <c r="E181" i="10"/>
  <c r="B182" i="10"/>
  <c r="C182" i="10"/>
  <c r="D182" i="10"/>
  <c r="E182" i="10"/>
  <c r="B183" i="10"/>
  <c r="C183" i="10"/>
  <c r="D183" i="10"/>
  <c r="E183" i="10"/>
  <c r="B184" i="10"/>
  <c r="C184" i="10"/>
  <c r="D184" i="10"/>
  <c r="E184" i="10"/>
  <c r="B185" i="10"/>
  <c r="C185" i="10"/>
  <c r="D185" i="10"/>
  <c r="E185" i="10"/>
  <c r="B186" i="10"/>
  <c r="C186" i="10"/>
  <c r="D186" i="10"/>
  <c r="E186" i="10"/>
  <c r="B187" i="10"/>
  <c r="C187" i="10"/>
  <c r="D187" i="10"/>
  <c r="E187" i="10"/>
  <c r="B188" i="10"/>
  <c r="C188" i="10"/>
  <c r="D188" i="10"/>
  <c r="E188" i="10"/>
  <c r="B189" i="10"/>
  <c r="C189" i="10"/>
  <c r="D189" i="10"/>
  <c r="E189" i="10"/>
  <c r="B190" i="10"/>
  <c r="C190" i="10"/>
  <c r="D190" i="10"/>
  <c r="E190" i="10"/>
  <c r="B191" i="10"/>
  <c r="C191" i="10"/>
  <c r="D191" i="10"/>
  <c r="E191" i="10"/>
  <c r="B192" i="10"/>
  <c r="C192" i="10"/>
  <c r="D192" i="10"/>
  <c r="E192" i="10"/>
  <c r="B193" i="10"/>
  <c r="C193" i="10"/>
  <c r="D193" i="10"/>
  <c r="E193" i="10"/>
  <c r="B194" i="10"/>
  <c r="C194" i="10"/>
  <c r="D194" i="10"/>
  <c r="E194" i="10"/>
  <c r="B195" i="10"/>
  <c r="C195" i="10"/>
  <c r="D195" i="10"/>
  <c r="E195" i="10"/>
  <c r="B196" i="10"/>
  <c r="C196" i="10"/>
  <c r="D196" i="10"/>
  <c r="E196" i="10"/>
  <c r="B197" i="10"/>
  <c r="C197" i="10"/>
  <c r="D197" i="10"/>
  <c r="E197" i="10"/>
  <c r="B198" i="10"/>
  <c r="C198" i="10"/>
  <c r="D198" i="10"/>
  <c r="E198" i="10"/>
  <c r="B199" i="10"/>
  <c r="C199" i="10"/>
  <c r="D199" i="10"/>
  <c r="E199" i="10"/>
  <c r="B200" i="10"/>
  <c r="C200" i="10"/>
  <c r="D200" i="10"/>
  <c r="E200" i="10"/>
  <c r="B201" i="10"/>
  <c r="C201" i="10"/>
  <c r="D201" i="10"/>
  <c r="E201" i="10"/>
  <c r="B202" i="10"/>
  <c r="C202" i="10"/>
  <c r="D202" i="10"/>
  <c r="E202" i="10"/>
  <c r="B203" i="10"/>
  <c r="C203" i="10"/>
  <c r="D203" i="10"/>
  <c r="E203" i="10"/>
  <c r="B204" i="10"/>
  <c r="C204" i="10"/>
  <c r="D204" i="10"/>
  <c r="E204" i="10"/>
  <c r="B205" i="10"/>
  <c r="C205" i="10"/>
  <c r="D205" i="10"/>
  <c r="E205" i="10"/>
  <c r="B206" i="10"/>
  <c r="C206" i="10"/>
  <c r="D206" i="10"/>
  <c r="E206" i="10"/>
  <c r="B207" i="10"/>
  <c r="C207" i="10"/>
  <c r="D207" i="10"/>
  <c r="E207" i="10"/>
  <c r="B208" i="10"/>
  <c r="C208" i="10"/>
  <c r="D208" i="10"/>
  <c r="E208" i="10"/>
  <c r="B209" i="10"/>
  <c r="C209" i="10"/>
  <c r="D209" i="10"/>
  <c r="E209" i="10"/>
  <c r="B210" i="10"/>
  <c r="C210" i="10"/>
  <c r="D210" i="10"/>
  <c r="E210" i="10"/>
  <c r="B211" i="10"/>
  <c r="C211" i="10"/>
  <c r="D211" i="10"/>
  <c r="E211" i="10"/>
  <c r="B212" i="10"/>
  <c r="C212" i="10"/>
  <c r="D212" i="10"/>
  <c r="E212" i="10"/>
  <c r="B213" i="10"/>
  <c r="C213" i="10"/>
  <c r="D213" i="10"/>
  <c r="E213" i="10"/>
  <c r="B214" i="10"/>
  <c r="C214" i="10"/>
  <c r="D214" i="10"/>
  <c r="E214" i="10"/>
  <c r="B215" i="10"/>
  <c r="C215" i="10"/>
  <c r="D215" i="10"/>
  <c r="E215" i="10"/>
  <c r="B216" i="10"/>
  <c r="C216" i="10"/>
  <c r="D216" i="10"/>
  <c r="E216" i="10"/>
  <c r="B217" i="10"/>
  <c r="C217" i="10"/>
  <c r="D217" i="10"/>
  <c r="E217" i="10"/>
  <c r="B218" i="10"/>
  <c r="C218" i="10"/>
  <c r="D218" i="10"/>
  <c r="E218" i="10"/>
  <c r="B219" i="10"/>
  <c r="C219" i="10"/>
  <c r="D219" i="10"/>
  <c r="E219" i="10"/>
  <c r="B220" i="10"/>
  <c r="C220" i="10"/>
  <c r="D220" i="10"/>
  <c r="E220" i="10"/>
  <c r="B221" i="10"/>
  <c r="C221" i="10"/>
  <c r="D221" i="10"/>
  <c r="E221" i="10"/>
  <c r="B222" i="10"/>
  <c r="C222" i="10"/>
  <c r="D222" i="10"/>
  <c r="E222" i="10"/>
  <c r="B223" i="10"/>
  <c r="C223" i="10"/>
  <c r="D223" i="10"/>
  <c r="E223" i="10"/>
  <c r="B224" i="10"/>
  <c r="C224" i="10"/>
  <c r="D224" i="10"/>
  <c r="E224" i="10"/>
  <c r="B225" i="10"/>
  <c r="C225" i="10"/>
  <c r="D225" i="10"/>
  <c r="E225" i="10"/>
  <c r="B226" i="10"/>
  <c r="C226" i="10"/>
  <c r="D226" i="10"/>
  <c r="E226" i="10"/>
  <c r="B227" i="10"/>
  <c r="C227" i="10"/>
  <c r="D227" i="10"/>
  <c r="E227" i="10"/>
  <c r="B228" i="10"/>
  <c r="C228" i="10"/>
  <c r="D228" i="10"/>
  <c r="E228" i="10"/>
  <c r="B229" i="10"/>
  <c r="C229" i="10"/>
  <c r="D229" i="10"/>
  <c r="E229" i="10"/>
  <c r="B230" i="10"/>
  <c r="C230" i="10"/>
  <c r="D230" i="10"/>
  <c r="E230" i="10"/>
  <c r="B231" i="10"/>
  <c r="C231" i="10"/>
  <c r="D231" i="10"/>
  <c r="E231" i="10"/>
  <c r="B232" i="10"/>
  <c r="C232" i="10"/>
  <c r="D232" i="10"/>
  <c r="E232" i="10"/>
  <c r="B233" i="10"/>
  <c r="C233" i="10"/>
  <c r="D233" i="10"/>
  <c r="E233" i="10"/>
  <c r="B234" i="10"/>
  <c r="C234" i="10"/>
  <c r="D234" i="10"/>
  <c r="E234" i="10"/>
  <c r="B235" i="10"/>
  <c r="C235" i="10"/>
  <c r="D235" i="10"/>
  <c r="E235" i="10"/>
  <c r="B236" i="10"/>
  <c r="C236" i="10"/>
  <c r="D236" i="10"/>
  <c r="E236" i="10"/>
  <c r="B237" i="10"/>
  <c r="C237" i="10"/>
  <c r="D237" i="10"/>
  <c r="E237" i="10"/>
  <c r="B238" i="10"/>
  <c r="C238" i="10"/>
  <c r="D238" i="10"/>
  <c r="E238" i="10"/>
  <c r="B239" i="10"/>
  <c r="C239" i="10"/>
  <c r="D239" i="10"/>
  <c r="E239" i="10"/>
  <c r="B240" i="10"/>
  <c r="C240" i="10"/>
  <c r="D240" i="10"/>
  <c r="E240" i="10"/>
  <c r="B241" i="10"/>
  <c r="C241" i="10"/>
  <c r="D241" i="10"/>
  <c r="E241" i="10"/>
  <c r="B242" i="10"/>
  <c r="C242" i="10"/>
  <c r="D242" i="10"/>
  <c r="E242" i="10"/>
  <c r="B243" i="10"/>
  <c r="C243" i="10"/>
  <c r="D243" i="10"/>
  <c r="E243" i="10"/>
  <c r="B244" i="10"/>
  <c r="C244" i="10"/>
  <c r="D244" i="10"/>
  <c r="E244" i="10"/>
  <c r="B245" i="10"/>
  <c r="C245" i="10"/>
  <c r="D245" i="10"/>
  <c r="E245" i="10"/>
  <c r="B246" i="10"/>
  <c r="C246" i="10"/>
  <c r="D246" i="10"/>
  <c r="E246" i="10"/>
  <c r="B247" i="10"/>
  <c r="C247" i="10"/>
  <c r="D247" i="10"/>
  <c r="E247" i="10"/>
  <c r="B248" i="10"/>
  <c r="C248" i="10"/>
  <c r="D248" i="10"/>
  <c r="E248" i="10"/>
  <c r="B249" i="10"/>
  <c r="C249" i="10"/>
  <c r="D249" i="10"/>
  <c r="E249" i="10"/>
  <c r="B250" i="10"/>
  <c r="C250" i="10"/>
  <c r="D250" i="10"/>
  <c r="E250" i="10"/>
  <c r="B251" i="10"/>
  <c r="C251" i="10"/>
  <c r="D251" i="10"/>
  <c r="E251" i="10"/>
  <c r="B252" i="10"/>
  <c r="C252" i="10"/>
  <c r="D252" i="10"/>
  <c r="E252" i="10"/>
  <c r="B253" i="10"/>
  <c r="C253" i="10"/>
  <c r="D253" i="10"/>
  <c r="E253" i="10"/>
  <c r="B254" i="10"/>
  <c r="C254" i="10"/>
  <c r="D254" i="10"/>
  <c r="E254" i="10"/>
  <c r="B255" i="10"/>
  <c r="C255" i="10"/>
  <c r="D255" i="10"/>
  <c r="E255" i="10"/>
  <c r="B256" i="10"/>
  <c r="C256" i="10"/>
  <c r="D256" i="10"/>
  <c r="E256" i="10"/>
  <c r="I3" i="9"/>
  <c r="I4" i="9"/>
  <c r="I5" i="9"/>
  <c r="I6" i="9"/>
  <c r="I7" i="9"/>
  <c r="I8" i="9"/>
  <c r="I9" i="9"/>
  <c r="I10" i="9"/>
  <c r="T21" i="8"/>
  <c r="U21" i="8"/>
  <c r="V21" i="8"/>
  <c r="W21" i="8"/>
  <c r="X21" i="8"/>
  <c r="Y21" i="8"/>
  <c r="Z21" i="8"/>
  <c r="AA21" i="8"/>
  <c r="AC21" i="8"/>
  <c r="AD21" i="8"/>
  <c r="AE21" i="8"/>
  <c r="AF21" i="8"/>
  <c r="AG21" i="8"/>
  <c r="AH21" i="8"/>
  <c r="L17" i="11" l="1"/>
  <c r="O4" i="5"/>
  <c r="P4" i="5"/>
  <c r="Q4" i="5"/>
  <c r="R4" i="5"/>
  <c r="K5" i="5"/>
  <c r="L5" i="5" s="1"/>
  <c r="O5" i="5"/>
  <c r="P5" i="5"/>
  <c r="Q5" i="5"/>
  <c r="R5" i="5"/>
  <c r="O6" i="5"/>
  <c r="P6" i="5"/>
  <c r="Q6" i="5"/>
  <c r="R6" i="5"/>
  <c r="J7" i="5"/>
  <c r="K7" i="5"/>
  <c r="O7" i="5"/>
  <c r="P7" i="5"/>
  <c r="Q7" i="5"/>
  <c r="R7" i="5"/>
  <c r="J8" i="5"/>
  <c r="K8" i="5"/>
  <c r="O8" i="5"/>
  <c r="P8" i="5"/>
  <c r="Q8" i="5"/>
  <c r="R8" i="5"/>
  <c r="J9" i="5"/>
  <c r="K9" i="5"/>
  <c r="O9" i="5"/>
  <c r="P9" i="5"/>
  <c r="Q9" i="5"/>
  <c r="R9" i="5"/>
  <c r="J10" i="5"/>
  <c r="K10" i="5"/>
  <c r="O10" i="5"/>
  <c r="P10" i="5"/>
  <c r="Q10" i="5"/>
  <c r="R10" i="5"/>
  <c r="J11" i="5"/>
  <c r="K11" i="5"/>
  <c r="O11" i="5"/>
  <c r="P11" i="5"/>
  <c r="Q11" i="5"/>
  <c r="R11" i="5"/>
  <c r="J12" i="5"/>
  <c r="K12" i="5"/>
  <c r="O12" i="5"/>
  <c r="P12" i="5"/>
  <c r="Q12" i="5"/>
  <c r="R12" i="5"/>
  <c r="J13" i="5"/>
  <c r="K13" i="5"/>
  <c r="O13" i="5"/>
  <c r="P13" i="5"/>
  <c r="Q13" i="5"/>
  <c r="R13" i="5"/>
  <c r="J14" i="5"/>
  <c r="K14" i="5"/>
  <c r="O14" i="5"/>
  <c r="P14" i="5"/>
  <c r="Q14" i="5"/>
  <c r="R14" i="5"/>
  <c r="J15" i="5"/>
  <c r="K15" i="5"/>
  <c r="O15" i="5"/>
  <c r="P15" i="5"/>
  <c r="Q15" i="5"/>
  <c r="R15" i="5"/>
  <c r="J16" i="5"/>
  <c r="K16" i="5"/>
  <c r="O16" i="5"/>
  <c r="P16" i="5"/>
  <c r="Q16" i="5"/>
  <c r="R16" i="5"/>
  <c r="J17" i="5"/>
  <c r="K17" i="5"/>
  <c r="O17" i="5"/>
  <c r="P17" i="5"/>
  <c r="Q17" i="5"/>
  <c r="R17" i="5"/>
  <c r="J18" i="5"/>
  <c r="K18" i="5"/>
  <c r="O18" i="5"/>
  <c r="P18" i="5"/>
  <c r="Q18" i="5"/>
  <c r="R18" i="5"/>
  <c r="J19" i="5"/>
  <c r="K19" i="5"/>
  <c r="O19" i="5"/>
  <c r="P19" i="5"/>
  <c r="Q19" i="5"/>
  <c r="R19" i="5"/>
  <c r="J20" i="5"/>
  <c r="K20" i="5"/>
  <c r="J21" i="5"/>
  <c r="K21" i="5"/>
  <c r="J22" i="5"/>
  <c r="K22" i="5"/>
  <c r="J23" i="5"/>
  <c r="K23" i="5"/>
  <c r="J24" i="5"/>
  <c r="K24" i="5"/>
  <c r="J25" i="5"/>
  <c r="K25" i="5"/>
  <c r="J26" i="5"/>
  <c r="K26" i="5"/>
  <c r="J27" i="5"/>
  <c r="K27" i="5"/>
  <c r="J28" i="5"/>
  <c r="K28" i="5"/>
  <c r="J29" i="5"/>
  <c r="K29" i="5"/>
  <c r="J30" i="5"/>
  <c r="K30" i="5"/>
  <c r="J31" i="5"/>
  <c r="K31" i="5"/>
  <c r="J32" i="5"/>
  <c r="K32" i="5"/>
  <c r="J33" i="5"/>
  <c r="K33" i="5"/>
  <c r="J34" i="5"/>
  <c r="K34" i="5"/>
  <c r="J35" i="5"/>
  <c r="K35" i="5"/>
  <c r="J36" i="5"/>
  <c r="K36" i="5"/>
  <c r="J37" i="5"/>
  <c r="K37" i="5"/>
  <c r="J38" i="5"/>
  <c r="K38" i="5"/>
  <c r="J39" i="5"/>
  <c r="K39" i="5"/>
  <c r="J40" i="5"/>
  <c r="K40" i="5"/>
  <c r="J41" i="5"/>
  <c r="K41" i="5"/>
  <c r="J42" i="5"/>
  <c r="K42" i="5"/>
  <c r="J43" i="5"/>
  <c r="K43" i="5"/>
  <c r="J44" i="5"/>
  <c r="K44" i="5"/>
  <c r="J45" i="5"/>
  <c r="K45" i="5"/>
  <c r="J46" i="5"/>
  <c r="K46" i="5"/>
  <c r="J47" i="5"/>
  <c r="K47" i="5"/>
  <c r="J48" i="5"/>
  <c r="K48" i="5"/>
  <c r="J49" i="5"/>
  <c r="K49" i="5"/>
  <c r="J50" i="5"/>
  <c r="K50" i="5"/>
  <c r="J51" i="5"/>
  <c r="K51" i="5"/>
  <c r="J52" i="5"/>
  <c r="K52" i="5"/>
  <c r="J53" i="5"/>
  <c r="K53" i="5"/>
  <c r="J54" i="5"/>
  <c r="K54" i="5"/>
  <c r="J55" i="5"/>
  <c r="K55" i="5"/>
  <c r="J56" i="5"/>
  <c r="K56" i="5"/>
  <c r="J57" i="5"/>
  <c r="K57" i="5"/>
  <c r="J58" i="5"/>
  <c r="K58" i="5"/>
  <c r="J59" i="5"/>
  <c r="K59" i="5"/>
  <c r="J60" i="5"/>
  <c r="K60" i="5"/>
  <c r="J61" i="5"/>
  <c r="K61" i="5"/>
  <c r="J62" i="5"/>
  <c r="K62" i="5"/>
  <c r="J63" i="5"/>
  <c r="K63" i="5"/>
  <c r="J64" i="5"/>
  <c r="K64" i="5"/>
  <c r="J65" i="5"/>
  <c r="K65" i="5"/>
  <c r="J66" i="5"/>
  <c r="K66" i="5"/>
  <c r="J67" i="5"/>
  <c r="K67" i="5"/>
  <c r="J68" i="5"/>
  <c r="K68" i="5"/>
  <c r="J69" i="5"/>
  <c r="K69" i="5"/>
  <c r="J70" i="5"/>
  <c r="K70" i="5"/>
  <c r="J71" i="5"/>
  <c r="K71" i="5"/>
  <c r="J72" i="5"/>
  <c r="K72" i="5"/>
  <c r="J73" i="5"/>
  <c r="K73" i="5"/>
  <c r="J74" i="5"/>
  <c r="K74" i="5"/>
  <c r="J75" i="5"/>
  <c r="K75" i="5"/>
  <c r="J76" i="5"/>
  <c r="K76" i="5"/>
  <c r="J77" i="5"/>
  <c r="K77" i="5"/>
  <c r="J78" i="5"/>
  <c r="K78" i="5"/>
  <c r="J79" i="5"/>
  <c r="K79" i="5"/>
  <c r="J80" i="5"/>
  <c r="K80" i="5"/>
  <c r="J81" i="5"/>
  <c r="K81" i="5"/>
  <c r="J82" i="5"/>
  <c r="K82" i="5"/>
  <c r="J83" i="5"/>
  <c r="K83" i="5"/>
  <c r="J84" i="5"/>
  <c r="K84" i="5"/>
  <c r="J85" i="5"/>
  <c r="K85" i="5"/>
  <c r="J86" i="5"/>
  <c r="K86" i="5"/>
  <c r="J87" i="5"/>
  <c r="K87" i="5"/>
  <c r="J88" i="5"/>
  <c r="K88" i="5"/>
  <c r="J89" i="5"/>
  <c r="K89" i="5"/>
  <c r="J90" i="5"/>
  <c r="K90" i="5"/>
  <c r="J91" i="5"/>
  <c r="K91" i="5"/>
  <c r="J92" i="5"/>
  <c r="K92" i="5"/>
  <c r="J93" i="5"/>
  <c r="K93" i="5"/>
  <c r="J94" i="5"/>
  <c r="K94" i="5"/>
  <c r="J95" i="5"/>
  <c r="K95" i="5"/>
  <c r="J96" i="5"/>
  <c r="K96" i="5"/>
  <c r="J97" i="5"/>
  <c r="K97" i="5"/>
  <c r="J98" i="5"/>
  <c r="K98" i="5"/>
  <c r="J99" i="5"/>
  <c r="K99" i="5"/>
  <c r="J100" i="5"/>
  <c r="K100" i="5"/>
  <c r="J101" i="5"/>
  <c r="K101" i="5"/>
  <c r="J102" i="5"/>
  <c r="K102" i="5"/>
  <c r="J103" i="5"/>
  <c r="K103" i="5"/>
  <c r="J104" i="5"/>
  <c r="K104" i="5"/>
  <c r="J105" i="5"/>
  <c r="K105" i="5"/>
  <c r="J106" i="5"/>
  <c r="K106" i="5"/>
  <c r="J107" i="5"/>
  <c r="K107" i="5"/>
  <c r="J108" i="5"/>
  <c r="K108" i="5"/>
  <c r="J109" i="5"/>
  <c r="K109" i="5"/>
  <c r="J110" i="5"/>
  <c r="K110" i="5"/>
  <c r="J111" i="5"/>
  <c r="K111" i="5"/>
  <c r="J112" i="5"/>
  <c r="K112" i="5"/>
  <c r="J113" i="5"/>
  <c r="K113" i="5"/>
  <c r="J114" i="5"/>
  <c r="K114" i="5"/>
  <c r="J115" i="5"/>
  <c r="K115" i="5"/>
  <c r="J116" i="5"/>
  <c r="K116" i="5"/>
  <c r="J117" i="5"/>
  <c r="K117" i="5"/>
  <c r="J118" i="5"/>
  <c r="K118" i="5"/>
  <c r="J119" i="5"/>
  <c r="K119" i="5"/>
  <c r="J120" i="5"/>
  <c r="K120" i="5"/>
  <c r="J121" i="5"/>
  <c r="K121" i="5"/>
  <c r="J122" i="5"/>
  <c r="K122" i="5"/>
  <c r="J123" i="5"/>
  <c r="K123" i="5"/>
  <c r="J124" i="5"/>
  <c r="K124" i="5"/>
  <c r="J125" i="5"/>
  <c r="K125" i="5"/>
  <c r="J126" i="5"/>
  <c r="K126" i="5"/>
  <c r="J127" i="5"/>
  <c r="K127" i="5"/>
  <c r="J128" i="5"/>
  <c r="K128" i="5"/>
  <c r="J129" i="5"/>
  <c r="K129" i="5"/>
  <c r="J130" i="5"/>
  <c r="K130" i="5"/>
  <c r="J131" i="5"/>
  <c r="K131" i="5"/>
  <c r="J132" i="5"/>
  <c r="K132" i="5"/>
  <c r="J133" i="5"/>
  <c r="K133" i="5"/>
  <c r="J134" i="5"/>
  <c r="K134" i="5"/>
  <c r="J135" i="5"/>
  <c r="K135" i="5"/>
  <c r="J136" i="5"/>
  <c r="K136" i="5"/>
  <c r="J137" i="5"/>
  <c r="K137" i="5"/>
  <c r="J138" i="5"/>
  <c r="K138" i="5"/>
  <c r="J139" i="5"/>
  <c r="K139" i="5"/>
  <c r="J140" i="5"/>
  <c r="K140" i="5"/>
  <c r="J141" i="5"/>
  <c r="K141" i="5"/>
  <c r="J142" i="5"/>
  <c r="K142" i="5"/>
  <c r="J143" i="5"/>
  <c r="K143" i="5"/>
  <c r="J144" i="5"/>
  <c r="K144" i="5"/>
  <c r="J145" i="5"/>
  <c r="K145" i="5"/>
  <c r="J146" i="5"/>
  <c r="K146" i="5"/>
  <c r="J147" i="5"/>
  <c r="K147" i="5"/>
  <c r="J148" i="5"/>
  <c r="K148" i="5"/>
  <c r="J149" i="5"/>
  <c r="K149" i="5"/>
  <c r="J150" i="5"/>
  <c r="K150" i="5"/>
  <c r="J151" i="5"/>
  <c r="K151" i="5"/>
  <c r="J152" i="5"/>
  <c r="K152" i="5"/>
  <c r="J153" i="5"/>
  <c r="K153" i="5"/>
  <c r="J154" i="5"/>
  <c r="K154" i="5"/>
  <c r="J155" i="5"/>
  <c r="K155" i="5"/>
  <c r="J156" i="5"/>
  <c r="K156" i="5"/>
  <c r="J157" i="5"/>
  <c r="K157" i="5"/>
  <c r="J158" i="5"/>
  <c r="K158" i="5"/>
  <c r="J159" i="5"/>
  <c r="K159" i="5"/>
  <c r="J160" i="5"/>
  <c r="K160" i="5"/>
  <c r="J161" i="5"/>
  <c r="K161" i="5"/>
  <c r="J162" i="5"/>
  <c r="K162" i="5"/>
  <c r="J163" i="5"/>
  <c r="K163" i="5"/>
  <c r="J164" i="5"/>
  <c r="K164" i="5"/>
  <c r="J165" i="5"/>
  <c r="K165" i="5"/>
  <c r="J166" i="5"/>
  <c r="K166" i="5"/>
  <c r="J167" i="5"/>
  <c r="K167" i="5"/>
  <c r="J168" i="5"/>
  <c r="K168" i="5"/>
  <c r="J169" i="5"/>
  <c r="K169" i="5"/>
  <c r="J170" i="5"/>
  <c r="K170" i="5"/>
  <c r="J171" i="5"/>
  <c r="K171" i="5"/>
  <c r="J172" i="5"/>
  <c r="K172" i="5"/>
  <c r="J173" i="5"/>
  <c r="K173" i="5"/>
  <c r="J174" i="5"/>
  <c r="K174" i="5"/>
  <c r="J175" i="5"/>
  <c r="K175" i="5"/>
  <c r="J176" i="5"/>
  <c r="K176" i="5"/>
  <c r="J177" i="5"/>
  <c r="K177" i="5"/>
  <c r="J178" i="5"/>
  <c r="K178" i="5"/>
  <c r="J179" i="5"/>
  <c r="K179" i="5"/>
  <c r="J180" i="5"/>
  <c r="K180" i="5"/>
  <c r="J181" i="5"/>
  <c r="K181" i="5"/>
  <c r="J182" i="5"/>
  <c r="K182" i="5"/>
  <c r="J183" i="5"/>
  <c r="K183" i="5"/>
  <c r="J184" i="5"/>
  <c r="K184" i="5"/>
  <c r="J185" i="5"/>
  <c r="K185" i="5"/>
  <c r="J186" i="5"/>
  <c r="K186" i="5"/>
  <c r="J187" i="5"/>
  <c r="K187" i="5"/>
  <c r="J188" i="5"/>
  <c r="K188" i="5"/>
  <c r="J189" i="5"/>
  <c r="K189" i="5"/>
  <c r="J190" i="5"/>
  <c r="K190" i="5"/>
  <c r="J191" i="5"/>
  <c r="K191" i="5"/>
  <c r="J192" i="5"/>
  <c r="K192" i="5"/>
  <c r="J193" i="5"/>
  <c r="K193" i="5"/>
  <c r="J194" i="5"/>
  <c r="K194" i="5"/>
  <c r="J195" i="5"/>
  <c r="K195" i="5"/>
  <c r="J196" i="5"/>
  <c r="K196" i="5"/>
  <c r="J197" i="5"/>
  <c r="K197" i="5"/>
  <c r="J198" i="5"/>
  <c r="K198" i="5"/>
  <c r="J199" i="5"/>
  <c r="K199" i="5"/>
  <c r="J200" i="5"/>
  <c r="K200" i="5"/>
  <c r="J201" i="5"/>
  <c r="K201" i="5"/>
  <c r="J202" i="5"/>
  <c r="K202" i="5"/>
  <c r="J203" i="5"/>
  <c r="K203" i="5"/>
  <c r="J204" i="5"/>
  <c r="K204" i="5"/>
  <c r="J205" i="5"/>
  <c r="K205" i="5"/>
  <c r="J206" i="5"/>
  <c r="K206" i="5"/>
  <c r="J207" i="5"/>
  <c r="K207" i="5"/>
  <c r="J208" i="5"/>
  <c r="K208" i="5"/>
  <c r="J209" i="5"/>
  <c r="K209" i="5"/>
  <c r="J210" i="5"/>
  <c r="K210" i="5"/>
  <c r="J211" i="5"/>
  <c r="K211" i="5"/>
  <c r="J212" i="5"/>
  <c r="K212" i="5"/>
  <c r="J213" i="5"/>
  <c r="K213" i="5"/>
  <c r="J214" i="5"/>
  <c r="K214" i="5"/>
  <c r="J215" i="5"/>
  <c r="K215" i="5"/>
  <c r="J216" i="5"/>
  <c r="K216" i="5"/>
  <c r="J217" i="5"/>
  <c r="K217" i="5"/>
  <c r="J218" i="5"/>
  <c r="K218" i="5"/>
  <c r="J219" i="5"/>
  <c r="K219" i="5"/>
  <c r="J220" i="5"/>
  <c r="K220" i="5"/>
  <c r="J221" i="5"/>
  <c r="K221" i="5"/>
  <c r="J222" i="5"/>
  <c r="K222" i="5"/>
  <c r="J223" i="5"/>
  <c r="K223" i="5"/>
  <c r="J224" i="5"/>
  <c r="K224" i="5"/>
  <c r="J225" i="5"/>
  <c r="K225" i="5"/>
  <c r="J226" i="5"/>
  <c r="K226" i="5"/>
  <c r="J227" i="5"/>
  <c r="K227" i="5"/>
  <c r="J228" i="5"/>
  <c r="K228" i="5"/>
  <c r="J229" i="5"/>
  <c r="K229" i="5"/>
  <c r="J230" i="5"/>
  <c r="K230" i="5"/>
  <c r="J231" i="5"/>
  <c r="K231" i="5"/>
  <c r="J232" i="5"/>
  <c r="K232" i="5"/>
  <c r="J233" i="5"/>
  <c r="K233" i="5"/>
  <c r="J234" i="5"/>
  <c r="K234" i="5"/>
  <c r="J235" i="5"/>
  <c r="K235" i="5"/>
  <c r="J236" i="5"/>
  <c r="K236" i="5"/>
  <c r="J237" i="5"/>
  <c r="K237" i="5"/>
  <c r="J238" i="5"/>
  <c r="K238" i="5"/>
  <c r="J239" i="5"/>
  <c r="K239" i="5"/>
  <c r="J240" i="5"/>
  <c r="K240" i="5"/>
  <c r="J241" i="5"/>
  <c r="K241" i="5"/>
  <c r="J242" i="5"/>
  <c r="K242" i="5"/>
  <c r="J243" i="5"/>
  <c r="K243" i="5"/>
  <c r="J244" i="5"/>
  <c r="K244" i="5"/>
  <c r="J245" i="5"/>
  <c r="K245" i="5"/>
  <c r="J246" i="5"/>
  <c r="K246" i="5"/>
  <c r="J247" i="5"/>
  <c r="K247" i="5"/>
  <c r="J248" i="5"/>
  <c r="K248" i="5"/>
  <c r="J249" i="5"/>
  <c r="K249" i="5"/>
  <c r="J250" i="5"/>
  <c r="K250" i="5"/>
  <c r="J251" i="5"/>
  <c r="K251" i="5"/>
  <c r="J252" i="5"/>
  <c r="K252" i="5"/>
  <c r="J253" i="5"/>
  <c r="K253" i="5"/>
  <c r="J254" i="5"/>
  <c r="K254" i="5"/>
  <c r="J255" i="5"/>
  <c r="K255" i="5"/>
  <c r="J256" i="5"/>
  <c r="K256" i="5"/>
  <c r="J257" i="5"/>
  <c r="K257" i="5"/>
  <c r="J258" i="5"/>
  <c r="K258" i="5"/>
  <c r="J259" i="5"/>
  <c r="K259" i="5"/>
  <c r="J260" i="5"/>
  <c r="K260" i="5"/>
  <c r="J261" i="5"/>
  <c r="K261" i="5"/>
  <c r="J262" i="5"/>
  <c r="K262" i="5"/>
</calcChain>
</file>

<file path=xl/sharedStrings.xml><?xml version="1.0" encoding="utf-8"?>
<sst xmlns="http://schemas.openxmlformats.org/spreadsheetml/2006/main" count="2364" uniqueCount="1925">
  <si>
    <t xml:space="preserve">Caret notation is often used to represent control characters on a terminal. On most text terminals, holding down the Ctrl key while typing the second character will type the control character. Sometimes the shift key is not needed, for instance ^@ may be typable with just Ctrl and 2.
</t>
  </si>
  <si>
    <t xml:space="preserve">Character escape sequences in C programming language and many other languages influenced by it, such as Java and Perl (though not all implementations necessarily support all escape sequences). </t>
  </si>
  <si>
    <t>The Unicode characters from the area U+2400 to U+2421 reserved for representing control characters when it is necessary to print or display them rather than have them perform their intended function. Some browsers may not display these properly.</t>
  </si>
  <si>
    <t>Notes:</t>
  </si>
  <si>
    <t>Delete</t>
  </si>
  <si>
    <t>&amp;#127;</t>
  </si>
  <si>
    <t>^?</t>
  </si>
  <si>
    <t>␡</t>
  </si>
  <si>
    <t>DEL</t>
  </si>
  <si>
    <t>7F</t>
  </si>
  <si>
    <t>111 1111</t>
  </si>
  <si>
    <t>Unit Separator</t>
  </si>
  <si>
    <t>&amp;#031;</t>
  </si>
  <si>
    <t>^_</t>
  </si>
  <si>
    <t>␟</t>
  </si>
  <si>
    <t>US</t>
  </si>
  <si>
    <t>S7</t>
  </si>
  <si>
    <t>1F</t>
  </si>
  <si>
    <t>001 1111</t>
  </si>
  <si>
    <t>Record Separator</t>
  </si>
  <si>
    <t>&amp;#030;</t>
  </si>
  <si>
    <t>^^</t>
  </si>
  <si>
    <t>␞</t>
  </si>
  <si>
    <t>RS</t>
  </si>
  <si>
    <t>S6</t>
  </si>
  <si>
    <t>1E</t>
  </si>
  <si>
    <t>001 1110</t>
  </si>
  <si>
    <t>Group Separator</t>
  </si>
  <si>
    <t>&amp;#029;</t>
  </si>
  <si>
    <t>^]</t>
  </si>
  <si>
    <t>␝</t>
  </si>
  <si>
    <t>GS</t>
  </si>
  <si>
    <t>S5</t>
  </si>
  <si>
    <t>1D</t>
  </si>
  <si>
    <t>001 1101</t>
  </si>
  <si>
    <t>File Separator</t>
  </si>
  <si>
    <t>&amp;#028;</t>
  </si>
  <si>
    <t>^\</t>
  </si>
  <si>
    <t>␜</t>
  </si>
  <si>
    <t>FS</t>
  </si>
  <si>
    <t>S4</t>
  </si>
  <si>
    <t>1C</t>
  </si>
  <si>
    <t>001 1100</t>
  </si>
  <si>
    <t>Escape</t>
  </si>
  <si>
    <t>&amp;#027;</t>
  </si>
  <si>
    <t>\e</t>
  </si>
  <si>
    <t>^[</t>
  </si>
  <si>
    <t>␛</t>
  </si>
  <si>
    <t>ESC</t>
  </si>
  <si>
    <t>S3</t>
  </si>
  <si>
    <t>1B</t>
  </si>
  <si>
    <t>001 1011</t>
  </si>
  <si>
    <t>Substitute</t>
  </si>
  <si>
    <t>&amp;#026;</t>
  </si>
  <si>
    <t>^Z</t>
  </si>
  <si>
    <t>␚</t>
  </si>
  <si>
    <t>SUB</t>
  </si>
  <si>
    <t>SS</t>
  </si>
  <si>
    <t>S2</t>
  </si>
  <si>
    <t>1A</t>
  </si>
  <si>
    <t>001 1010</t>
  </si>
  <si>
    <t>End of Medium</t>
  </si>
  <si>
    <t>&amp;#025;</t>
  </si>
  <si>
    <t>^Y</t>
  </si>
  <si>
    <t>␙</t>
  </si>
  <si>
    <t>EM</t>
  </si>
  <si>
    <t>S1</t>
  </si>
  <si>
    <t>001 1001</t>
  </si>
  <si>
    <t>Cancel</t>
  </si>
  <si>
    <t>&amp;#024;</t>
  </si>
  <si>
    <t>^X</t>
  </si>
  <si>
    <t>␘</t>
  </si>
  <si>
    <t>CAN</t>
  </si>
  <si>
    <t>S0</t>
  </si>
  <si>
    <t>001 1000</t>
  </si>
  <si>
    <t>End of Transmission Block</t>
  </si>
  <si>
    <t>&amp;#023;</t>
  </si>
  <si>
    <t>^W</t>
  </si>
  <si>
    <t>␗</t>
  </si>
  <si>
    <t>ETB</t>
  </si>
  <si>
    <t>LEM</t>
  </si>
  <si>
    <t>001 0111</t>
  </si>
  <si>
    <t>Synchronous Idle</t>
  </si>
  <si>
    <t>&amp;#022;</t>
  </si>
  <si>
    <t>^V</t>
  </si>
  <si>
    <t>␖</t>
  </si>
  <si>
    <t>SYN</t>
  </si>
  <si>
    <t>SYNC</t>
  </si>
  <si>
    <t>001 0110</t>
  </si>
  <si>
    <t>Negative Acknowledgement</t>
  </si>
  <si>
    <t>&amp;#021;</t>
  </si>
  <si>
    <t>^U</t>
  </si>
  <si>
    <t>␕</t>
  </si>
  <si>
    <t>NAK</t>
  </si>
  <si>
    <t>ERR</t>
  </si>
  <si>
    <t>001 0101</t>
  </si>
  <si>
    <t>Device Control 4</t>
  </si>
  <si>
    <t>&amp;#020;</t>
  </si>
  <si>
    <t>^T</t>
  </si>
  <si>
    <t>␔</t>
  </si>
  <si>
    <t>DC4</t>
  </si>
  <si>
    <t>001 0100</t>
  </si>
  <si>
    <t>Device Control 3 (often XOFF)</t>
  </si>
  <si>
    <t>&amp;#019;</t>
  </si>
  <si>
    <t>^S</t>
  </si>
  <si>
    <t>␓</t>
  </si>
  <si>
    <t>DC3</t>
  </si>
  <si>
    <t>001 0011</t>
  </si>
  <si>
    <t>Device Control 2</t>
  </si>
  <si>
    <t>&amp;#018;</t>
  </si>
  <si>
    <t>^R</t>
  </si>
  <si>
    <t>␒</t>
  </si>
  <si>
    <t>DC2</t>
  </si>
  <si>
    <t>001 0010</t>
  </si>
  <si>
    <t>Device Control 1 (often XON)</t>
  </si>
  <si>
    <t>&amp;#017;</t>
  </si>
  <si>
    <t>^Q</t>
  </si>
  <si>
    <t>␑</t>
  </si>
  <si>
    <t>DC1</t>
  </si>
  <si>
    <t>001 0001</t>
  </si>
  <si>
    <t>Data Link Escape</t>
  </si>
  <si>
    <t>&amp;#016;</t>
  </si>
  <si>
    <t>^P</t>
  </si>
  <si>
    <t>␐</t>
  </si>
  <si>
    <t>DLE</t>
  </si>
  <si>
    <t>DC0</t>
  </si>
  <si>
    <t>001 0000</t>
  </si>
  <si>
    <t>Shift In</t>
  </si>
  <si>
    <t>&amp;#015;</t>
  </si>
  <si>
    <t>^O</t>
  </si>
  <si>
    <t>␏</t>
  </si>
  <si>
    <t>SI</t>
  </si>
  <si>
    <t>0F</t>
  </si>
  <si>
    <t>000 1111</t>
  </si>
  <si>
    <t>Shift Out</t>
  </si>
  <si>
    <t>&amp;#014;</t>
  </si>
  <si>
    <t>^N</t>
  </si>
  <si>
    <t>␎</t>
  </si>
  <si>
    <t>SO</t>
  </si>
  <si>
    <t>0E</t>
  </si>
  <si>
    <t>000 1110</t>
  </si>
  <si>
    <r>
      <t>Carriage Return</t>
    </r>
    <r>
      <rPr>
        <vertAlign val="superscript"/>
        <sz val="12"/>
        <color theme="1"/>
        <rFont val="Times New Roman"/>
        <family val="1"/>
      </rPr>
      <t>[h]</t>
    </r>
  </si>
  <si>
    <t>&amp;#013;</t>
  </si>
  <si>
    <t>\r</t>
  </si>
  <si>
    <t>^M</t>
  </si>
  <si>
    <t>␍</t>
  </si>
  <si>
    <t>CR</t>
  </si>
  <si>
    <t>0D</t>
  </si>
  <si>
    <t>000 1101</t>
  </si>
  <si>
    <t>Form Feed</t>
  </si>
  <si>
    <t>&amp;#012;</t>
  </si>
  <si>
    <t>\f</t>
  </si>
  <si>
    <t>^L</t>
  </si>
  <si>
    <t>␌</t>
  </si>
  <si>
    <t>FF</t>
  </si>
  <si>
    <t>0C</t>
  </si>
  <si>
    <t>000 1100</t>
  </si>
  <si>
    <t>Vertical Tab</t>
  </si>
  <si>
    <t>&amp;#011;</t>
  </si>
  <si>
    <t>\v</t>
  </si>
  <si>
    <t>^K</t>
  </si>
  <si>
    <t>␋</t>
  </si>
  <si>
    <t>VT</t>
  </si>
  <si>
    <t>VTAB</t>
  </si>
  <si>
    <t>0B</t>
  </si>
  <si>
    <t>000 1011</t>
  </si>
  <si>
    <t>Line Feed</t>
  </si>
  <si>
    <t>&amp;#010;</t>
  </si>
  <si>
    <t>\n</t>
  </si>
  <si>
    <t>^J</t>
  </si>
  <si>
    <t>␊</t>
  </si>
  <si>
    <t>LF</t>
  </si>
  <si>
    <t>0A</t>
  </si>
  <si>
    <t>000 1010</t>
  </si>
  <si>
    <t>Horizontal Tab</t>
  </si>
  <si>
    <t>&amp;#009;</t>
  </si>
  <si>
    <t>\t</t>
  </si>
  <si>
    <t>^I</t>
  </si>
  <si>
    <t>␉</t>
  </si>
  <si>
    <t>HT</t>
  </si>
  <si>
    <t>HT/SK</t>
  </si>
  <si>
    <t>000 1001</t>
  </si>
  <si>
    <t>Backspace</t>
  </si>
  <si>
    <t>&amp;#008;</t>
  </si>
  <si>
    <t>\b</t>
  </si>
  <si>
    <t>^H</t>
  </si>
  <si>
    <t>␈</t>
  </si>
  <si>
    <t>BS</t>
  </si>
  <si>
    <t>FE0</t>
  </si>
  <si>
    <t>000 1000</t>
  </si>
  <si>
    <t>Bell</t>
  </si>
  <si>
    <t>&amp;#007;</t>
  </si>
  <si>
    <t>\a</t>
  </si>
  <si>
    <t>^G</t>
  </si>
  <si>
    <t>␇</t>
  </si>
  <si>
    <t>BEL</t>
  </si>
  <si>
    <t>BELL</t>
  </si>
  <si>
    <t>000 0111</t>
  </si>
  <si>
    <t>Acknowledgement</t>
  </si>
  <si>
    <t>&amp;#006;</t>
  </si>
  <si>
    <t>^F</t>
  </si>
  <si>
    <t>␆</t>
  </si>
  <si>
    <t>ACK</t>
  </si>
  <si>
    <t>RU</t>
  </si>
  <si>
    <t>000 0110</t>
  </si>
  <si>
    <t>Enquiry</t>
  </si>
  <si>
    <t>&amp;#005;</t>
  </si>
  <si>
    <t>^E</t>
  </si>
  <si>
    <t>␅</t>
  </si>
  <si>
    <t>ENQ</t>
  </si>
  <si>
    <t>WRU</t>
  </si>
  <si>
    <t>000 0101</t>
  </si>
  <si>
    <t>End of Transmission</t>
  </si>
  <si>
    <t>&amp;#004;</t>
  </si>
  <si>
    <t>^D</t>
  </si>
  <si>
    <t>␄</t>
  </si>
  <si>
    <t>EOT</t>
  </si>
  <si>
    <t>000 0100</t>
  </si>
  <si>
    <t>End of Text</t>
  </si>
  <si>
    <t>&amp;#003;</t>
  </si>
  <si>
    <t>^C</t>
  </si>
  <si>
    <t>␃</t>
  </si>
  <si>
    <t>ETX</t>
  </si>
  <si>
    <t>EOM</t>
  </si>
  <si>
    <t>000 0011</t>
  </si>
  <si>
    <t>Start of Text</t>
  </si>
  <si>
    <t>&amp;#002;</t>
  </si>
  <si>
    <t>^B</t>
  </si>
  <si>
    <t>␂</t>
  </si>
  <si>
    <t>STX</t>
  </si>
  <si>
    <t>EOA</t>
  </si>
  <si>
    <t>000 0010</t>
  </si>
  <si>
    <t>Start of Heading</t>
  </si>
  <si>
    <t>&amp;#001;</t>
  </si>
  <si>
    <t>^A</t>
  </si>
  <si>
    <t>␁</t>
  </si>
  <si>
    <t>SOH</t>
  </si>
  <si>
    <t>SOM</t>
  </si>
  <si>
    <t>000 0001</t>
  </si>
  <si>
    <t>Null</t>
  </si>
  <si>
    <t>\0</t>
  </si>
  <si>
    <t>^@</t>
  </si>
  <si>
    <t>␀</t>
  </si>
  <si>
    <t>NUL</t>
  </si>
  <si>
    <t>NULL</t>
  </si>
  <si>
    <t>000 0000</t>
  </si>
  <si>
    <t>'67</t>
  </si>
  <si>
    <t>'65</t>
  </si>
  <si>
    <t>'63</t>
  </si>
  <si>
    <t>Name ('67)</t>
  </si>
  <si>
    <t>HTML Name</t>
  </si>
  <si>
    <t>Escape (In C)</t>
  </si>
  <si>
    <t>Caret</t>
  </si>
  <si>
    <t>UNICODE</t>
  </si>
  <si>
    <t>Abbreviation</t>
  </si>
  <si>
    <t>Hex</t>
  </si>
  <si>
    <t>Dec</t>
  </si>
  <si>
    <t>Oct</t>
  </si>
  <si>
    <t>Binary</t>
  </si>
  <si>
    <t>Decimal</t>
  </si>
  <si>
    <t>Enter Your Binary Value Below:</t>
  </si>
  <si>
    <t xml:space="preserve">Example: </t>
  </si>
  <si>
    <t>Base/Digit</t>
  </si>
  <si>
    <t xml:space="preserve">Calculated Values: </t>
  </si>
  <si>
    <t>Hexadecimal</t>
  </si>
  <si>
    <t>Octal</t>
  </si>
  <si>
    <t>Base Exponent Calculations</t>
  </si>
  <si>
    <t>Decimal to Binary Conversion Chart</t>
  </si>
  <si>
    <t>Y</t>
  </si>
  <si>
    <t xml:space="preserve">Visual Basic .NET operator </t>
  </si>
  <si>
    <t>XOr</t>
  </si>
  <si>
    <t>Used in the Property statement</t>
  </si>
  <si>
    <t>WriteOnly</t>
  </si>
  <si>
    <t>Used in variable declaration (Dim, Public, etc.)</t>
  </si>
  <si>
    <t>WithEvents</t>
  </si>
  <si>
    <t>Visual Basic .NET statement</t>
  </si>
  <si>
    <t>With</t>
  </si>
  <si>
    <t>Used with the Do...Loop and While...End While constructs</t>
  </si>
  <si>
    <t>While</t>
  </si>
  <si>
    <t>Used with the Try...Catch...Finally construct</t>
  </si>
  <si>
    <t>When</t>
  </si>
  <si>
    <t>Reserved but unused in Visual Basic .NET</t>
  </si>
  <si>
    <t>Variant</t>
  </si>
  <si>
    <t>Used in the For...Next construct</t>
  </si>
  <si>
    <t>Until</t>
  </si>
  <si>
    <t>Used in the Declare statement</t>
  </si>
  <si>
    <t>Unicode</t>
  </si>
  <si>
    <t>Used in variations of the If...Then...EndIf construct</t>
  </si>
  <si>
    <t>TypeOf</t>
  </si>
  <si>
    <t>Try</t>
  </si>
  <si>
    <t>Boolean literal</t>
  </si>
  <si>
    <t>Used in the For...Next and Select Case constructs</t>
  </si>
  <si>
    <t>To</t>
  </si>
  <si>
    <t>Throw</t>
  </si>
  <si>
    <t>Used in the If...Then...Else...EndIf construct</t>
  </si>
  <si>
    <t>Then</t>
  </si>
  <si>
    <t>Used in the Option Compare statement</t>
  </si>
  <si>
    <t>Text</t>
  </si>
  <si>
    <t>SyncLock</t>
  </si>
  <si>
    <t>Sub</t>
  </si>
  <si>
    <t>Structure</t>
  </si>
  <si>
    <t>Used in variable declaration (intrinsic data type)</t>
  </si>
  <si>
    <t>String</t>
  </si>
  <si>
    <t>Stop</t>
  </si>
  <si>
    <t>Step</t>
  </si>
  <si>
    <t>Variable declaration statement</t>
  </si>
  <si>
    <t>Static</t>
  </si>
  <si>
    <t>Single</t>
  </si>
  <si>
    <t>Short</t>
  </si>
  <si>
    <t>Used in the Sub and Function statements</t>
  </si>
  <si>
    <t>Shared</t>
  </si>
  <si>
    <t>Shadows</t>
  </si>
  <si>
    <t>Set</t>
  </si>
  <si>
    <t>Used in the Select Case construct</t>
  </si>
  <si>
    <t>Select</t>
  </si>
  <si>
    <t>File-access statement and function</t>
  </si>
  <si>
    <t>Seek</t>
  </si>
  <si>
    <t>Return</t>
  </si>
  <si>
    <t>Used in the On Error and Resume statements</t>
  </si>
  <si>
    <t>Resume</t>
  </si>
  <si>
    <t>RemoveHandler</t>
  </si>
  <si>
    <t>Rem</t>
  </si>
  <si>
    <t>ReDim</t>
  </si>
  <si>
    <t>ReadOnly</t>
  </si>
  <si>
    <t>Used in the FileOpen function</t>
  </si>
  <si>
    <t>Read</t>
  </si>
  <si>
    <t>Random</t>
  </si>
  <si>
    <t>RaiseEvent</t>
  </si>
  <si>
    <t>Statement and access modifier</t>
  </si>
  <si>
    <t>Public</t>
  </si>
  <si>
    <t>Protected</t>
  </si>
  <si>
    <t>Property</t>
  </si>
  <si>
    <t>Private</t>
  </si>
  <si>
    <t>Used with the ReDim statement</t>
  </si>
  <si>
    <t>Preserve</t>
  </si>
  <si>
    <t>Used in the Declare, Function, Property, and Sub statements</t>
  </si>
  <si>
    <t>ParamArray</t>
  </si>
  <si>
    <t>Used in the Sub, Property, and Function statements</t>
  </si>
  <si>
    <t>Overrides</t>
  </si>
  <si>
    <t>Overridable</t>
  </si>
  <si>
    <t>Overloads</t>
  </si>
  <si>
    <t>Output</t>
  </si>
  <si>
    <t>Boolean operator</t>
  </si>
  <si>
    <t>OrElse</t>
  </si>
  <si>
    <t>Or</t>
  </si>
  <si>
    <t>Optional</t>
  </si>
  <si>
    <t>Used in Option statements</t>
  </si>
  <si>
    <t>Option</t>
  </si>
  <si>
    <t>On</t>
  </si>
  <si>
    <t>Off</t>
  </si>
  <si>
    <t>Object</t>
  </si>
  <si>
    <t>NotOverridable</t>
  </si>
  <si>
    <t>Used in the Class construct</t>
  </si>
  <si>
    <t>NotInheritable</t>
  </si>
  <si>
    <t>Used to clear an object reference</t>
  </si>
  <si>
    <t>Nothing</t>
  </si>
  <si>
    <t xml:space="preserve"> Visual Basic .NET operator</t>
  </si>
  <si>
    <t>Not</t>
  </si>
  <si>
    <t>Used in the For...Next and For Each...Next constructs</t>
  </si>
  <si>
    <t>Next</t>
  </si>
  <si>
    <t>Object-creation keyword, constructor name</t>
  </si>
  <si>
    <t>New</t>
  </si>
  <si>
    <t>Namespace</t>
  </si>
  <si>
    <t>Statement referring to the current object instance</t>
  </si>
  <si>
    <t>MyClass</t>
  </si>
  <si>
    <t>Statement referring to an object's base class</t>
  </si>
  <si>
    <t>MyBase</t>
  </si>
  <si>
    <t>MustOverride</t>
  </si>
  <si>
    <t>MustInherit</t>
  </si>
  <si>
    <t>Module</t>
  </si>
  <si>
    <t>Visual Basic .NET operator</t>
  </si>
  <si>
    <t>Mod</t>
  </si>
  <si>
    <t>String-manipulation statement and function</t>
  </si>
  <si>
    <t>Mid</t>
  </si>
  <si>
    <t>Me</t>
  </si>
  <si>
    <t>Used in a Do loop</t>
  </si>
  <si>
    <t>Loop</t>
  </si>
  <si>
    <t>Long</t>
  </si>
  <si>
    <t>Function name</t>
  </si>
  <si>
    <t>Lock</t>
  </si>
  <si>
    <t>Like</t>
  </si>
  <si>
    <t>Lib</t>
  </si>
  <si>
    <t>Let</t>
  </si>
  <si>
    <t>Object comparison operator</t>
  </si>
  <si>
    <t>Is</t>
  </si>
  <si>
    <t>Interface</t>
  </si>
  <si>
    <t>Integer</t>
  </si>
  <si>
    <t>Input</t>
  </si>
  <si>
    <t>Inherits</t>
  </si>
  <si>
    <t>Used in the For Each...Next construct</t>
  </si>
  <si>
    <t>In</t>
  </si>
  <si>
    <t>Imports</t>
  </si>
  <si>
    <t>Implements</t>
  </si>
  <si>
    <t>If</t>
  </si>
  <si>
    <t>Defines an event handler in a procedure declaration</t>
  </si>
  <si>
    <t>Handles</t>
  </si>
  <si>
    <t>Visual Basic .NET statement, used with the On Error statement</t>
  </si>
  <si>
    <t>GoTo</t>
  </si>
  <si>
    <t>GetType</t>
  </si>
  <si>
    <t>Used in the Property construct</t>
  </si>
  <si>
    <t>Get</t>
  </si>
  <si>
    <t>Function</t>
  </si>
  <si>
    <t>Friend</t>
  </si>
  <si>
    <t>For</t>
  </si>
  <si>
    <t>Finally</t>
  </si>
  <si>
    <t>Used in the Option Explicit statement</t>
  </si>
  <si>
    <t>Explicit</t>
  </si>
  <si>
    <t>Event</t>
  </si>
  <si>
    <t>Used in the Error and On Error compatibility statements</t>
  </si>
  <si>
    <t>Error</t>
  </si>
  <si>
    <t>Erase</t>
  </si>
  <si>
    <t>Enum</t>
  </si>
  <si>
    <t>Used in the If...Else...ElseIf...End If construct</t>
  </si>
  <si>
    <t>EndIf</t>
  </si>
  <si>
    <t>Used to terminate a variety of statements</t>
  </si>
  <si>
    <t>End</t>
  </si>
  <si>
    <t>ElseIf</t>
  </si>
  <si>
    <t>Else</t>
  </si>
  <si>
    <t>Each</t>
  </si>
  <si>
    <t>Double</t>
  </si>
  <si>
    <t>Do</t>
  </si>
  <si>
    <t>Dim</t>
  </si>
  <si>
    <t>Delegate</t>
  </si>
  <si>
    <t>Default</t>
  </si>
  <si>
    <t>Declare</t>
  </si>
  <si>
    <t>Date</t>
  </si>
  <si>
    <t>Data-conversion function</t>
  </si>
  <si>
    <t>CType</t>
  </si>
  <si>
    <t>CStr</t>
  </si>
  <si>
    <t>CSng</t>
  </si>
  <si>
    <t>CShort</t>
  </si>
  <si>
    <t>Compare</t>
  </si>
  <si>
    <t>CObj</t>
  </si>
  <si>
    <t>CLng</t>
  </si>
  <si>
    <t>Class</t>
  </si>
  <si>
    <t>CInt</t>
  </si>
  <si>
    <t>Char</t>
  </si>
  <si>
    <t>CDbl</t>
  </si>
  <si>
    <t>CDec</t>
  </si>
  <si>
    <t>CDate</t>
  </si>
  <si>
    <t>CChar</t>
  </si>
  <si>
    <t>CByte</t>
  </si>
  <si>
    <t>CBool</t>
  </si>
  <si>
    <t>Catch</t>
  </si>
  <si>
    <t>Case</t>
  </si>
  <si>
    <t>Call</t>
  </si>
  <si>
    <t>Used in argument lists</t>
  </si>
  <si>
    <t>ByVal</t>
  </si>
  <si>
    <t>Byte</t>
  </si>
  <si>
    <t>ByRef</t>
  </si>
  <si>
    <t>Boolean</t>
  </si>
  <si>
    <t>Auto</t>
  </si>
  <si>
    <t>Assembly-level attribute specifier</t>
  </si>
  <si>
    <t>Assembly</t>
  </si>
  <si>
    <t>Used in variable declaration (Dim, Friend, etc.)</t>
  </si>
  <si>
    <t>As</t>
  </si>
  <si>
    <t>Used as a symbolic constant in the FileOpen function</t>
  </si>
  <si>
    <t>Append</t>
  </si>
  <si>
    <t>Ansi</t>
  </si>
  <si>
    <t>AndAlso</t>
  </si>
  <si>
    <t>And</t>
  </si>
  <si>
    <t>Alias</t>
  </si>
  <si>
    <t>Visual Basic .NET Statement</t>
  </si>
  <si>
    <t>AddressOf</t>
  </si>
  <si>
    <t>AddHandler</t>
  </si>
  <si>
    <t>Construct</t>
  </si>
  <si>
    <t>Statement</t>
  </si>
  <si>
    <t>Operator</t>
  </si>
  <si>
    <t>Description</t>
  </si>
  <si>
    <t xml:space="preserve">VB Keyword </t>
  </si>
  <si>
    <t>4. Determine the xth subnet starting address: First, subtract one from the xth subnet because they start with the 0 address as first! Enter the binary representation bits into the subnet portion. Then using the bit value, sum the values to detmine the subnet value. (0 + 64) = 64. So the 2nd subnet for the example above would be n.n.64.0, where n.n is from the original class B address being split.)  Note, if the bits extend beyond the octet as shown in the set the Subnet count line above.)</t>
  </si>
  <si>
    <t>3. Determin the number of usable Host by subtractiong 2 (1 for the network address and one for the broadcast address, both of which are reserved.)</t>
  </si>
  <si>
    <t>2. Determine the number of IP addresses for the subnetted network: Place a 1 in the box below the last bit in the address. Move to the box left of this value and double the previous value. The result under the first one of the subnet (blue) is the result.  Alternately, count the number of bits in the host portion of the address and calculate the value using the nember of bits as a exponential power of 2. (2^14 = 16384)</t>
  </si>
  <si>
    <t>1. Determine the number of subnets: Starting at the last 1 of the classful portion of the network address, enter 1 in the box below, then move one box right under the next bit and double the previous value. Repeat until you reach the last bit of the subnet mask. The result is the number below the last bit of the subnet protion of the mask (see blue box on the line above).  Alternately, count the number of bits in the subnet and calculate the value using the nember of bits as a exponential power of 2. (2^2 = 4)</t>
  </si>
  <si>
    <t xml:space="preserve">Mark the x-1 bit value of the subnet </t>
  </si>
  <si>
    <t>For the 2nd Subnet (To set the Subnet Count)</t>
  </si>
  <si>
    <t>N/A</t>
  </si>
  <si>
    <t>Number of Useable Host IPs</t>
  </si>
  <si>
    <t>Number of Available IPs in Subnet</t>
  </si>
  <si>
    <t>Number of Subnets:</t>
  </si>
  <si>
    <t>.</t>
  </si>
  <si>
    <t>Subnet Mask /18</t>
  </si>
  <si>
    <t>Classless Addressing</t>
  </si>
  <si>
    <t>Class C Subnet Mask</t>
  </si>
  <si>
    <t>Class B Subnet Mask</t>
  </si>
  <si>
    <t>Class A Subnet Mask</t>
  </si>
  <si>
    <t>Classful Addressing</t>
  </si>
  <si>
    <t>Host Bits</t>
  </si>
  <si>
    <t>Subnetwork Bits</t>
  </si>
  <si>
    <t>Network Bits</t>
  </si>
  <si>
    <t>Key:</t>
  </si>
  <si>
    <t>Subnet IP Addressing</t>
  </si>
  <si>
    <t>Decimal Value</t>
  </si>
  <si>
    <t>CIDR Notation Conversion Chart</t>
  </si>
  <si>
    <t>Times New Roman</t>
  </si>
  <si>
    <t>WingDings3</t>
  </si>
  <si>
    <t>WingDings2</t>
  </si>
  <si>
    <t>WingDings</t>
  </si>
  <si>
    <t xml:space="preserve">  </t>
  </si>
  <si>
    <t xml:space="preserve"> </t>
  </si>
  <si>
    <t>Averages:</t>
  </si>
  <si>
    <t>Totals:</t>
  </si>
  <si>
    <t>Nov</t>
  </si>
  <si>
    <t>Sep</t>
  </si>
  <si>
    <t>Aug</t>
  </si>
  <si>
    <t>Jul</t>
  </si>
  <si>
    <t>Jun</t>
  </si>
  <si>
    <t>May</t>
  </si>
  <si>
    <t>Apr</t>
  </si>
  <si>
    <t>Mar</t>
  </si>
  <si>
    <t>Feb</t>
  </si>
  <si>
    <t>Jan</t>
  </si>
  <si>
    <t>Monthly Totals</t>
  </si>
  <si>
    <t>Hits List</t>
  </si>
  <si>
    <t>Random Value Range:</t>
  </si>
  <si>
    <t>SQL Server Port</t>
  </si>
  <si>
    <t>TCP or UDP</t>
  </si>
  <si>
    <t>Port</t>
  </si>
  <si>
    <t xml:space="preserve">Operator </t>
  </si>
  <si>
    <t xml:space="preserve">Meaning </t>
  </si>
  <si>
    <t xml:space="preserve">= </t>
  </si>
  <si>
    <t xml:space="preserve">Equals </t>
  </si>
  <si>
    <t xml:space="preserve">Not equal to </t>
  </si>
  <si>
    <t xml:space="preserve">IS NOT NULL </t>
  </si>
  <si>
    <t xml:space="preserve">Has a value </t>
  </si>
  <si>
    <t xml:space="preserve">IS NULL </t>
  </si>
  <si>
    <t xml:space="preserve">Does not have a value </t>
  </si>
  <si>
    <t xml:space="preserve">BETWEEN </t>
  </si>
  <si>
    <t xml:space="preserve">Within a range </t>
  </si>
  <si>
    <t xml:space="preserve">NOT BETWEEN </t>
  </si>
  <si>
    <t xml:space="preserve">Outside of a range </t>
  </si>
  <si>
    <t xml:space="preserve">OR </t>
  </si>
  <si>
    <t xml:space="preserve">Where one of two conditionals is true </t>
  </si>
  <si>
    <t xml:space="preserve">AND </t>
  </si>
  <si>
    <t xml:space="preserve">Where both conditionals are true </t>
  </si>
  <si>
    <t xml:space="preserve">NOT </t>
  </si>
  <si>
    <t xml:space="preserve">Where the condition is not true </t>
  </si>
  <si>
    <t xml:space="preserve">LIKE </t>
  </si>
  <si>
    <t xml:space="preserve">For character matching (i.e., LIKE 'Stanfo%') </t>
  </si>
  <si>
    <t xml:space="preserve">NOT LIKE </t>
  </si>
  <si>
    <t>To rule out characters</t>
  </si>
  <si>
    <t>Access</t>
  </si>
  <si>
    <t>Excel</t>
  </si>
  <si>
    <t>VBA</t>
  </si>
  <si>
    <t>&lt;&gt;</t>
  </si>
  <si>
    <t>++</t>
  </si>
  <si>
    <t>postfix increment</t>
  </si>
  <si>
    <t>--</t>
  </si>
  <si>
    <t>postfix decrement</t>
  </si>
  <si>
    <t>prefix increment</t>
  </si>
  <si>
    <t>prefix decrement</t>
  </si>
  <si>
    <t>+</t>
  </si>
  <si>
    <t>leading plus</t>
  </si>
  <si>
    <t>-</t>
  </si>
  <si>
    <t>leading minus</t>
  </si>
  <si>
    <t>!</t>
  </si>
  <si>
    <t>logical not</t>
  </si>
  <si>
    <t>~</t>
  </si>
  <si>
    <t>Bitwise complement</t>
  </si>
  <si>
    <t>*</t>
  </si>
  <si>
    <t>multiplication</t>
  </si>
  <si>
    <t>/</t>
  </si>
  <si>
    <t>division</t>
  </si>
  <si>
    <t>%</t>
  </si>
  <si>
    <t>remainder</t>
  </si>
  <si>
    <t>addition</t>
  </si>
  <si>
    <t>subtraction</t>
  </si>
  <si>
    <t>&lt;&lt; </t>
  </si>
  <si>
    <t>shift left</t>
  </si>
  <si>
    <t>&gt;&gt; </t>
  </si>
  <si>
    <t>shift right</t>
  </si>
  <si>
    <t>&gt;&gt;&gt; </t>
  </si>
  <si>
    <t>unsigned shift right</t>
  </si>
  <si>
    <t>&lt; </t>
  </si>
  <si>
    <t>lessthan</t>
  </si>
  <si>
    <t>&lt;=</t>
  </si>
  <si>
    <t>less than or equal to</t>
  </si>
  <si>
    <t>&gt; </t>
  </si>
  <si>
    <t>greater than</t>
  </si>
  <si>
    <t>&gt;=</t>
  </si>
  <si>
    <t>greater than or equal to</t>
  </si>
  <si>
    <t>instanceof</t>
  </si>
  <si>
    <t>class comparator</t>
  </si>
  <si>
    <t>==</t>
  </si>
  <si>
    <t>!=</t>
  </si>
  <si>
    <t>is not equal to</t>
  </si>
  <si>
    <t>&amp;</t>
  </si>
  <si>
    <t>bitwise AND</t>
  </si>
  <si>
    <t>^</t>
  </si>
  <si>
    <t>exclusive OR</t>
  </si>
  <si>
    <t>|</t>
  </si>
  <si>
    <t>inclusive OR</t>
  </si>
  <si>
    <t>&amp;&amp;</t>
  </si>
  <si>
    <t>conditional AND</t>
  </si>
  <si>
    <t>||</t>
  </si>
  <si>
    <t>conditional OR</t>
  </si>
  <si>
    <t>?:</t>
  </si>
  <si>
    <t>conditional</t>
  </si>
  <si>
    <t>=</t>
  </si>
  <si>
    <t>assignment</t>
  </si>
  <si>
    <t>+=</t>
  </si>
  <si>
    <t>addition assignment</t>
  </si>
  <si>
    <t>-=</t>
  </si>
  <si>
    <t>subtraction assignment</t>
  </si>
  <si>
    <t>*=</t>
  </si>
  <si>
    <t>multiplication assignment</t>
  </si>
  <si>
    <t>/=</t>
  </si>
  <si>
    <t>division assignment</t>
  </si>
  <si>
    <t>&amp;=</t>
  </si>
  <si>
    <t>bitwise AND assignment</t>
  </si>
  <si>
    <t>^=</t>
  </si>
  <si>
    <t>bitwise exclusive OR assignment</t>
  </si>
  <si>
    <t>|=</t>
  </si>
  <si>
    <t>bitwise inclusive OR assignment</t>
  </si>
  <si>
    <t>&lt;&lt;=</t>
  </si>
  <si>
    <t>bitwise left shift assign</t>
  </si>
  <si>
    <t>&gt;&gt;=</t>
  </si>
  <si>
    <t>bitwise right shift assign</t>
  </si>
  <si>
    <t>&gt;&gt;&gt;=</t>
  </si>
  <si>
    <t>bitwise unsigned right shift assign</t>
  </si>
  <si>
    <t xml:space="preserve">postfix </t>
  </si>
  <si>
    <t xml:space="preserve">unary </t>
  </si>
  <si>
    <t xml:space="preserve">multiplicative </t>
  </si>
  <si>
    <t xml:space="preserve">additive </t>
  </si>
  <si>
    <t xml:space="preserve">shift </t>
  </si>
  <si>
    <t xml:space="preserve">equality </t>
  </si>
  <si>
    <t>bitwise exclusive OR</t>
  </si>
  <si>
    <t>bitwise inclusive OR</t>
  </si>
  <si>
    <t>logical AND</t>
  </si>
  <si>
    <t>logical OR</t>
  </si>
  <si>
    <t>ternary</t>
  </si>
  <si>
    <t>relational</t>
  </si>
  <si>
    <t>Type</t>
  </si>
  <si>
    <t>Precedence</t>
  </si>
  <si>
    <t>is exactly equal to</t>
  </si>
  <si>
    <t>SQL</t>
  </si>
  <si>
    <t xml:space="preserve">A .wxs file is analogous to a .cpp file for C++. The Root element of this file is &lt;Wix&gt;. </t>
  </si>
  <si>
    <t>WiX Source File</t>
  </si>
  <si>
    <t>A .wxl file contains a set of strings used for localizing a product into a specified culture. The root element of this file is &lt;WixLocalization&gt;. The culture is specified by setting the Culture attribute on the &lt;WixLocalization&gt; element.</t>
  </si>
  <si>
    <t>WiX Localization File</t>
  </si>
  <si>
    <t>A .wxi file is analogous to .h files for C++. The root element of this file is &lt;Include&gt;. Everything under the root element will be inserted inline when this file is included in another source or include file.</t>
  </si>
  <si>
    <t>WiX Include File</t>
  </si>
  <si>
    <t>Windows Media Player - PC or Flip4Mac (plays Windows Media files in QuickTime on a Mac)</t>
  </si>
  <si>
    <t>Microsoft  Windows Media file (Video)</t>
  </si>
  <si>
    <t>Microsoft Windows Media file (audio)</t>
  </si>
  <si>
    <t>A .wixpdb file is created by the linker for each final output. It contains the debugging information.</t>
  </si>
  <si>
    <t>WiX Debug File</t>
  </si>
  <si>
    <t>A .wixout file is created by the linker which represents the result of linking a set of object files. The .wixout is an XML representation of the final output.</t>
  </si>
  <si>
    <t>WiX XML Output File</t>
  </si>
  <si>
    <t>A .wixobj file is created by the compiler for each source file compiled. The .wixobj file contains one or more sections that, in turn, contain symbols and references to other symbols. For more detail, see Additional Information below.</t>
  </si>
  <si>
    <t>WiX Object File</t>
  </si>
  <si>
    <t>A .wixmst file is an XML representation of the difference between a pair of final outputs or XML outputs.</t>
  </si>
  <si>
    <t>WiX Transform File</t>
  </si>
  <si>
    <t>A .wixmsp file is the XML output generated by linking object files in a patch build.</t>
  </si>
  <si>
    <t>WiX XML Patch File</t>
  </si>
  <si>
    <t>A .wixlib file is a library of setup functionality that can be easily shared across different WiX-based packages by including it when linking the setup package.</t>
  </si>
  <si>
    <t>WiX Library File</t>
  </si>
  <si>
    <t>Visio</t>
  </si>
  <si>
    <t>Microsoft Visio Data</t>
  </si>
  <si>
    <t>QuickTime (QT) User Interface File</t>
  </si>
  <si>
    <t>Television stations/channels</t>
  </si>
  <si>
    <t>TrueType Font File</t>
  </si>
  <si>
    <t>Flash Player</t>
  </si>
  <si>
    <t>Adobe Shockwave</t>
  </si>
  <si>
    <t>Used to store common SQL scripts for repeated execution.</t>
  </si>
  <si>
    <t>Structured Query Language Script File</t>
  </si>
  <si>
    <t>BASH Shell Script File</t>
  </si>
  <si>
    <t>XML formatted settings document</t>
  </si>
  <si>
    <t>Word &amp; many other word processors</t>
  </si>
  <si>
    <t>Text file</t>
  </si>
  <si>
    <t>RealPlayer</t>
  </si>
  <si>
    <t>Real Audio Media File</t>
  </si>
  <si>
    <t>Runtime Configuration File</t>
  </si>
  <si>
    <t>Visual Studio Resource Script or</t>
  </si>
  <si>
    <t>QuickTime (QT) Component File</t>
  </si>
  <si>
    <t>QuickTime</t>
  </si>
  <si>
    <t>Quicktime Video</t>
  </si>
  <si>
    <t>QuickTime (QT) Style Sheet</t>
  </si>
  <si>
    <t>QT is a cross-platform application development framework, widely used for the development of GUI programs. The resources associated with an application are specified in a .qrc file, an XML-based file format that lists files on the disk and optionally assigns them a resource name that the application must use to access the resource.</t>
  </si>
  <si>
    <t>QuickTime (QT)  Resource Collection File</t>
  </si>
  <si>
    <t>QuickTime (QT) Help Project</t>
  </si>
  <si>
    <t>QuickTime (QT) Help Collection Project</t>
  </si>
  <si>
    <t>QuickTime (QT) Help Collection</t>
  </si>
  <si>
    <t>QuickTime (QT) Compressed Help</t>
  </si>
  <si>
    <t>used to store user preferences for toolbars</t>
  </si>
  <si>
    <t>Office Quick Access Toolbar Info file</t>
  </si>
  <si>
    <t>Cython src to be converted to C/C++</t>
  </si>
  <si>
    <t>Cython Script File</t>
  </si>
  <si>
    <t>Python script for Windows. It is executed with pythonw.exe</t>
  </si>
  <si>
    <t>Python Windows Program (Script) File</t>
  </si>
  <si>
    <t>Python Optimized Code</t>
  </si>
  <si>
    <t>Developer File primarily associated with Python Dynamic Module (Python Software Foundation). This is basically a windows dll file.</t>
  </si>
  <si>
    <t>Python Developer File</t>
  </si>
  <si>
    <t>Complied source code written in the Python programming language associated Python Software Foundation.</t>
  </si>
  <si>
    <t>Python Compiled Code</t>
  </si>
  <si>
    <t>Python input source code file associated with Python Software Foundation.</t>
  </si>
  <si>
    <t>Python3 Program (Script) File</t>
  </si>
  <si>
    <t>wildcard notation in ".gitignore" that means the file may be ".pyc", ".pyo", or ".pyd".</t>
  </si>
  <si>
    <t>Python Program (Script) File</t>
  </si>
  <si>
    <t>Cython script which is equivalent to a C/C++ header</t>
  </si>
  <si>
    <t>Cython Script Header File</t>
  </si>
  <si>
    <t>used by a variety of Microsoft Office applications. These files store personalized menus and toolbars that have been created or installed by a user, allowing the associated application to display shortcut command menus of the features that are used most frequently used.</t>
  </si>
  <si>
    <t>Office Personalized Settings file</t>
  </si>
  <si>
    <t>Privacy Enhanced Mail (PEM) Certificate File</t>
  </si>
  <si>
    <t>A patch creation properties file (.pcp) is used as an input to the patch building tools provided in the Windows Installer SDK.</t>
  </si>
  <si>
    <t>Windows Installer Patch Creation Process</t>
  </si>
  <si>
    <t>used to store network dialup data</t>
  </si>
  <si>
    <t>Phone book File</t>
  </si>
  <si>
    <t>Used by Python to serialize objects to files on disk and deserialized back into the program at runtime; saves a byte stream that represents the objects; more often uses the .P extension rather than ".pickle."</t>
  </si>
  <si>
    <t>Serialized Objest Storage File</t>
  </si>
  <si>
    <t>OpenType Font File</t>
  </si>
  <si>
    <t>MS Office Word document</t>
  </si>
  <si>
    <t>OpenDocument Text</t>
  </si>
  <si>
    <t>contains the RSS subscription names and properties that are used to store RSS subscription feeds in a user's outlook profile in the XML file format.  Outlook</t>
  </si>
  <si>
    <t>created by Outlook</t>
  </si>
  <si>
    <t>AutoComplete file</t>
  </si>
  <si>
    <t>MP3Tag Export program file</t>
  </si>
  <si>
    <t>Microsoft Update Standalone Package</t>
  </si>
  <si>
    <t>A transform file (.mst) is used to apply changes to an .msi file.</t>
  </si>
  <si>
    <t>Windows Installer Transform</t>
  </si>
  <si>
    <t>A merge module file (.msm) is used to share setup logic across different .msi packages. A merge module can be created by one development team, then merged into another development team's .msi package.</t>
  </si>
  <si>
    <t>Windows Installer Merge Module</t>
  </si>
  <si>
    <t>An installation package file (.msi) is the basic unit of installation for the Windows Installer.</t>
  </si>
  <si>
    <t>Windows Installer Installation Package</t>
  </si>
  <si>
    <t>Movie</t>
  </si>
  <si>
    <t>QuickTime (QT) Meta-Object Compiler File</t>
  </si>
  <si>
    <t>A dictionary</t>
  </si>
  <si>
    <t>Microsoft Office Lexicon file</t>
  </si>
  <si>
    <t>Privacy Enhanced Mail (PEM) Private Key File</t>
  </si>
  <si>
    <t xml:space="preserve">A way to store information in an organized, easy-to-access manner. Use json-csv.com to convert to a Comma Separated Values file. </t>
  </si>
  <si>
    <t>JavaScript Object Notation Databse File</t>
  </si>
  <si>
    <t>Use Notepad to view these files.</t>
  </si>
  <si>
    <t>information domain or text file</t>
  </si>
  <si>
    <t>Outlook</t>
  </si>
  <si>
    <t>Holiday Update Files</t>
  </si>
  <si>
    <t>Used for simple spreadsheet or database storage.</t>
  </si>
  <si>
    <t>Comma Separated Values</t>
  </si>
  <si>
    <r>
      <t xml:space="preserve">Some applications can generate these for submission to certificate-authorities. The actual format is PKCS10 which is defined in RFC 2986. It includes some/all of the key details of the requested certificate such as subject, organization, state, whatnot, as well as the </t>
    </r>
    <r>
      <rPr>
        <i/>
        <sz val="12"/>
        <rFont val="Times New Roman"/>
        <family val="1"/>
      </rPr>
      <t>public key</t>
    </r>
    <r>
      <rPr>
        <sz val="12"/>
        <rFont val="Times New Roman"/>
        <family val="1"/>
      </rPr>
      <t xml:space="preserve"> of the certificate to get signed. These get signed by the CA and a certificate is returned. The returned certificate is the public </t>
    </r>
    <r>
      <rPr>
        <i/>
        <sz val="12"/>
        <rFont val="Times New Roman"/>
        <family val="1"/>
      </rPr>
      <t>certificate</t>
    </r>
    <r>
      <rPr>
        <sz val="12"/>
        <rFont val="Times New Roman"/>
        <family val="1"/>
      </rPr>
      <t xml:space="preserve"> (which includes the public key but not the private key), which itself can be in a couple of formats.</t>
    </r>
  </si>
  <si>
    <t>Certificate Signing Request</t>
  </si>
  <si>
    <t>Typically a renamed extension for a  copy of the original file by appending the .bak extension.</t>
  </si>
  <si>
    <t>Backup file</t>
  </si>
  <si>
    <t>used by Microsoft Office programs</t>
  </si>
  <si>
    <t>auto-correct list file</t>
  </si>
  <si>
    <t>Notes</t>
  </si>
  <si>
    <t>Extension</t>
  </si>
  <si>
    <t>Word 2007 and later; based on Extensible Markup Language rather than the older and less efficient binary-based format</t>
  </si>
  <si>
    <t>.key This is a PEM formatted file containing just the private-key of a specific certificate and is merely a conventional name and not a standardized one. In Apache installs, this frequently resides in /etc/ssl/private. The rights on these files are very important, and some programs will refuse to load these certificates if they are set wrong.</t>
  </si>
  <si>
    <r>
      <t xml:space="preserve">Defined in RFC's 1421 through 1424, this is a container format that may include just the public certificate (such as with Apache installs, and CA certificate files </t>
    </r>
    <r>
      <rPr>
        <b/>
        <sz val="12"/>
        <rFont val="Times New Roman"/>
        <family val="1"/>
      </rPr>
      <t>/etc/ssl/certs</t>
    </r>
    <r>
      <rPr>
        <sz val="12"/>
        <rFont val="Times New Roman"/>
        <family val="1"/>
      </rPr>
      <t>), or may include an entire certificate chain including public key, private key, and root certificates. Confusingly, it may also encode a CSR as the PKCS10 format can be translated into PEM. A base64 translation of the x509 ASN.1 keys.</t>
    </r>
  </si>
  <si>
    <t>Executable Files primarily associated Python Software Foundation. A compiled Python program, similar to a .PYC file, but assert statements and SET_LINENO instructions are removed. This is a *.pyc file that was created while optimizations (-O) was on.</t>
  </si>
  <si>
    <t xml:space="preserve">allows access to Exchange Server stored data for offline work  Outlook; C:\Users\mmyers\AppData\Local\Microsoft\Outlook </t>
  </si>
  <si>
    <t>Open Document Format</t>
  </si>
  <si>
    <t>Letter</t>
  </si>
  <si>
    <t>Usage</t>
  </si>
  <si>
    <t>Α</t>
  </si>
  <si>
    <t>Β</t>
  </si>
  <si>
    <t>Γ</t>
  </si>
  <si>
    <t>Δ</t>
  </si>
  <si>
    <t>Ε</t>
  </si>
  <si>
    <t>Ζ</t>
  </si>
  <si>
    <t>Η</t>
  </si>
  <si>
    <t>Θ</t>
  </si>
  <si>
    <t>Ι</t>
  </si>
  <si>
    <t>Κ</t>
  </si>
  <si>
    <t>Λ</t>
  </si>
  <si>
    <t>Μ</t>
  </si>
  <si>
    <t>Ν</t>
  </si>
  <si>
    <t>Ξ</t>
  </si>
  <si>
    <t>Ο</t>
  </si>
  <si>
    <t>Π</t>
  </si>
  <si>
    <t>Ρ</t>
  </si>
  <si>
    <t>Σ</t>
  </si>
  <si>
    <t>Τ</t>
  </si>
  <si>
    <t>Υ</t>
  </si>
  <si>
    <t>Φ</t>
  </si>
  <si>
    <t>Χ</t>
  </si>
  <si>
    <t>Ψ</t>
  </si>
  <si>
    <t>Ω</t>
  </si>
  <si>
    <t>α</t>
  </si>
  <si>
    <t>β</t>
  </si>
  <si>
    <t>γ</t>
  </si>
  <si>
    <t>δ</t>
  </si>
  <si>
    <t>ε</t>
  </si>
  <si>
    <t>ζ</t>
  </si>
  <si>
    <t>η</t>
  </si>
  <si>
    <t>θ</t>
  </si>
  <si>
    <t>ι</t>
  </si>
  <si>
    <t>κ</t>
  </si>
  <si>
    <t>λ</t>
  </si>
  <si>
    <t>μ</t>
  </si>
  <si>
    <t>ν</t>
  </si>
  <si>
    <t>ξ</t>
  </si>
  <si>
    <t>ο</t>
  </si>
  <si>
    <t>π</t>
  </si>
  <si>
    <t>ρ</t>
  </si>
  <si>
    <t>ς</t>
  </si>
  <si>
    <t>σ</t>
  </si>
  <si>
    <t>τ</t>
  </si>
  <si>
    <t>υ</t>
  </si>
  <si>
    <t>φ</t>
  </si>
  <si>
    <t>χ</t>
  </si>
  <si>
    <t>ψ</t>
  </si>
  <si>
    <t>ω</t>
  </si>
  <si>
    <t>ϑ</t>
  </si>
  <si>
    <t>ϒ</t>
  </si>
  <si>
    <t>Upsilon With Hook Symbol</t>
  </si>
  <si>
    <t>ϖ</t>
  </si>
  <si>
    <t>Pi Symbol</t>
  </si>
  <si>
    <t>a</t>
  </si>
  <si>
    <t>b</t>
  </si>
  <si>
    <t>c</t>
  </si>
  <si>
    <t>d</t>
  </si>
  <si>
    <t>e</t>
  </si>
  <si>
    <t>f</t>
  </si>
  <si>
    <t>g</t>
  </si>
  <si>
    <t>h</t>
  </si>
  <si>
    <t>i</t>
  </si>
  <si>
    <t>j</t>
  </si>
  <si>
    <t>k</t>
  </si>
  <si>
    <t>l</t>
  </si>
  <si>
    <t>m</t>
  </si>
  <si>
    <t>n</t>
  </si>
  <si>
    <t>o</t>
  </si>
  <si>
    <t>p</t>
  </si>
  <si>
    <t>q</t>
  </si>
  <si>
    <t>r</t>
  </si>
  <si>
    <t>s</t>
  </si>
  <si>
    <t>t</t>
  </si>
  <si>
    <t>u</t>
  </si>
  <si>
    <t>v</t>
  </si>
  <si>
    <t>w</t>
  </si>
  <si>
    <t>x</t>
  </si>
  <si>
    <t>y</t>
  </si>
  <si>
    <t>z</t>
  </si>
  <si>
    <t>A</t>
  </si>
  <si>
    <t>B</t>
  </si>
  <si>
    <t>C</t>
  </si>
  <si>
    <t>D</t>
  </si>
  <si>
    <t>E</t>
  </si>
  <si>
    <t>F</t>
  </si>
  <si>
    <t>G</t>
  </si>
  <si>
    <t>H</t>
  </si>
  <si>
    <t>I</t>
  </si>
  <si>
    <t>J</t>
  </si>
  <si>
    <t>K</t>
  </si>
  <si>
    <t>L</t>
  </si>
  <si>
    <t>M</t>
  </si>
  <si>
    <t>N</t>
  </si>
  <si>
    <t>O</t>
  </si>
  <si>
    <t>P</t>
  </si>
  <si>
    <t>Q</t>
  </si>
  <si>
    <t>R</t>
  </si>
  <si>
    <t>S</t>
  </si>
  <si>
    <t>T</t>
  </si>
  <si>
    <t>U</t>
  </si>
  <si>
    <t>V</t>
  </si>
  <si>
    <t>W</t>
  </si>
  <si>
    <t>X</t>
  </si>
  <si>
    <t>Z</t>
  </si>
  <si>
    <t>Radius</t>
  </si>
  <si>
    <t>Velocity (Speed)</t>
  </si>
  <si>
    <t>Einstein's Constant; Speed of Light</t>
  </si>
  <si>
    <t>Impedance</t>
  </si>
  <si>
    <t>Avogadro constant</t>
  </si>
  <si>
    <t>Displacement</t>
  </si>
  <si>
    <t>Time</t>
  </si>
  <si>
    <t>Second</t>
  </si>
  <si>
    <t>Mass; Meter</t>
  </si>
  <si>
    <t>Kelvin</t>
  </si>
  <si>
    <t>Gas Constant; Rankine</t>
  </si>
  <si>
    <t>Ampere; Area</t>
  </si>
  <si>
    <t>Impulse</t>
  </si>
  <si>
    <t>Work</t>
  </si>
  <si>
    <t>Momentum</t>
  </si>
  <si>
    <t>Acceleration</t>
  </si>
  <si>
    <t>Volume; Voltage</t>
  </si>
  <si>
    <t>Energy; Voltage; Electric Field Strength</t>
  </si>
  <si>
    <t>Density, Electric Field Density</t>
  </si>
  <si>
    <t>Pressure; Power</t>
  </si>
  <si>
    <t>Hour, Heat</t>
  </si>
  <si>
    <t>Quantity, Charge Quantity</t>
  </si>
  <si>
    <t>Avogadro Constant; Luminous Intensity; Inductance</t>
  </si>
  <si>
    <t>Frequency</t>
  </si>
  <si>
    <t>Avogadro Constant; Newton</t>
  </si>
  <si>
    <t>Siemans</t>
  </si>
  <si>
    <t>Watt</t>
  </si>
  <si>
    <t>Joule</t>
  </si>
  <si>
    <t>Celsius; Capacitance; Coulomb</t>
  </si>
  <si>
    <t>Faraday Constant; Fahrenheit; Force; Farad</t>
  </si>
  <si>
    <t>Magnetic Field Strength; Henry</t>
  </si>
  <si>
    <t>Temperature, Tesla</t>
  </si>
  <si>
    <t>Bit</t>
  </si>
  <si>
    <t>Luminous Intensity; Byte</t>
  </si>
  <si>
    <t>Gravitational Accelleration (Gravity); Gram</t>
  </si>
  <si>
    <t>Gravitational Conastant; Gilbert</t>
  </si>
  <si>
    <t>Small Roman  a</t>
  </si>
  <si>
    <t>Small Roman  b</t>
  </si>
  <si>
    <t>Small Roman  c</t>
  </si>
  <si>
    <t>Small Roman  d</t>
  </si>
  <si>
    <t>Small Roman  e</t>
  </si>
  <si>
    <t>Small Roman  f</t>
  </si>
  <si>
    <t>Small Roman  g</t>
  </si>
  <si>
    <t>Small Roman  h</t>
  </si>
  <si>
    <t>Small Roman  i</t>
  </si>
  <si>
    <t>Small Roman  j</t>
  </si>
  <si>
    <t>Small Roman  k</t>
  </si>
  <si>
    <t>Small Roman  l</t>
  </si>
  <si>
    <t>Small Roman  m</t>
  </si>
  <si>
    <t>Small Roman  n</t>
  </si>
  <si>
    <t>Small Roman  o</t>
  </si>
  <si>
    <t>Small Roman  p</t>
  </si>
  <si>
    <t>Small Roman  q</t>
  </si>
  <si>
    <t>Small Roman  r</t>
  </si>
  <si>
    <t>Small Roman  s</t>
  </si>
  <si>
    <t>Small Roman  t</t>
  </si>
  <si>
    <t>Small Roman  u</t>
  </si>
  <si>
    <t>Small Roman  v</t>
  </si>
  <si>
    <t>Small Roman  w</t>
  </si>
  <si>
    <t>Small Roman  x</t>
  </si>
  <si>
    <t>Small Roman  y</t>
  </si>
  <si>
    <t>Small Roman  z</t>
  </si>
  <si>
    <t>Capital Roman  A</t>
  </si>
  <si>
    <t>Capital Roman  B</t>
  </si>
  <si>
    <t>Capital Roman  C</t>
  </si>
  <si>
    <t>Capital Roman  D</t>
  </si>
  <si>
    <t>Capital Roman  E</t>
  </si>
  <si>
    <t>Capital Roman  F</t>
  </si>
  <si>
    <t>Capital Roman  G</t>
  </si>
  <si>
    <t>Capital Roman  H</t>
  </si>
  <si>
    <t>Capital Roman  I</t>
  </si>
  <si>
    <t>Capital Roman  J</t>
  </si>
  <si>
    <t>Capital Roman  K</t>
  </si>
  <si>
    <t>Capital Roman  L</t>
  </si>
  <si>
    <t>Capital Roman  M</t>
  </si>
  <si>
    <t>Capital Roman  N</t>
  </si>
  <si>
    <t>Capital Roman  O</t>
  </si>
  <si>
    <t>Capital Roman  P</t>
  </si>
  <si>
    <t>Capital Roman  Q</t>
  </si>
  <si>
    <t>Capital Roman  R</t>
  </si>
  <si>
    <t>Capital Roman  S</t>
  </si>
  <si>
    <t>Capital Roman  T</t>
  </si>
  <si>
    <t>Capital Roman  U</t>
  </si>
  <si>
    <t>Capital Roman  V</t>
  </si>
  <si>
    <t>Capital Roman  W</t>
  </si>
  <si>
    <t>Capital Roman  X</t>
  </si>
  <si>
    <t>Capital Roman  Y</t>
  </si>
  <si>
    <t>Capital Roman  Z</t>
  </si>
  <si>
    <t>Capital Greek Alpha</t>
  </si>
  <si>
    <t>Capital Greek Beta</t>
  </si>
  <si>
    <t>Capital Greek Gamma</t>
  </si>
  <si>
    <t>Capital Greek Delta</t>
  </si>
  <si>
    <t>Capital Greek Epsilon</t>
  </si>
  <si>
    <t>Capital Greek Zeta</t>
  </si>
  <si>
    <t>Capital Greek Eta</t>
  </si>
  <si>
    <t>Capital Greek Theta</t>
  </si>
  <si>
    <t>Capital Greek Iota</t>
  </si>
  <si>
    <t>Capital Greek Kappa</t>
  </si>
  <si>
    <t>Capital Greek Lambda</t>
  </si>
  <si>
    <t>Capital Greek Mu</t>
  </si>
  <si>
    <t>Capital Greek Nu</t>
  </si>
  <si>
    <t>Capital Greek Xi</t>
  </si>
  <si>
    <t>Capital Greek Omicron</t>
  </si>
  <si>
    <t>Capital Greek Pi</t>
  </si>
  <si>
    <t>Capital Greek Rho</t>
  </si>
  <si>
    <t>Capital Greek Sigma</t>
  </si>
  <si>
    <t>Capital Greek Tau</t>
  </si>
  <si>
    <t>Capital Greek Upsilon</t>
  </si>
  <si>
    <t>Capital Greek Phi</t>
  </si>
  <si>
    <t>Capital Greek Chi</t>
  </si>
  <si>
    <t>Capital Greek Psi</t>
  </si>
  <si>
    <t>Capital Greek Omega</t>
  </si>
  <si>
    <t>Small Greek Alpha</t>
  </si>
  <si>
    <t>Small Greek Beta</t>
  </si>
  <si>
    <t>Small Greek Gamma</t>
  </si>
  <si>
    <t>Small Greek Delta</t>
  </si>
  <si>
    <t>Small Greek Epsilon</t>
  </si>
  <si>
    <t>Small Greek Zeta</t>
  </si>
  <si>
    <t>Small Greek Eta</t>
  </si>
  <si>
    <t>Small Greek Theta</t>
  </si>
  <si>
    <t>Small Greek Iota</t>
  </si>
  <si>
    <t>Small Greek Kappa</t>
  </si>
  <si>
    <t>Small Greek Lambda</t>
  </si>
  <si>
    <t>Small Greek Mu</t>
  </si>
  <si>
    <t>Small Greek Nu</t>
  </si>
  <si>
    <t>Small Greek Xi</t>
  </si>
  <si>
    <t>Small Greek Omicron</t>
  </si>
  <si>
    <t>Small Greek Pi</t>
  </si>
  <si>
    <t>Small Greek Rho</t>
  </si>
  <si>
    <t>Small Greek Final Sigma</t>
  </si>
  <si>
    <t>Small Greek Sigma</t>
  </si>
  <si>
    <t>Small Greek Tau</t>
  </si>
  <si>
    <t>Small Greek Upsilon</t>
  </si>
  <si>
    <t>Small Greek Phi</t>
  </si>
  <si>
    <t>Small Greek Chi</t>
  </si>
  <si>
    <t>Small Greek Psi</t>
  </si>
  <si>
    <t>Small Greek Omega</t>
  </si>
  <si>
    <t>Small Greek Theta Symbol</t>
  </si>
  <si>
    <t xml:space="preserve">Quantity or phenomenon (and symbol) </t>
  </si>
  <si>
    <t xml:space="preserve">Standard International unit (and symbol) </t>
  </si>
  <si>
    <t xml:space="preserve">Alternate units (and symbols) </t>
  </si>
  <si>
    <t>displacement ( d )</t>
  </si>
  <si>
    <t>meter (m)</t>
  </si>
  <si>
    <t>centimeter (cm) foot (ft)</t>
  </si>
  <si>
    <t>mass ( m )</t>
  </si>
  <si>
    <t>kilogram (kg)</t>
  </si>
  <si>
    <t>gram (g)</t>
  </si>
  <si>
    <t>time ( t )</t>
  </si>
  <si>
    <t>second (s or sec)</t>
  </si>
  <si>
    <t>hour (h or hr) mean solar day (dy) solar year (yr)</t>
  </si>
  <si>
    <t>current ( I )</t>
  </si>
  <si>
    <t>ampere (A)</t>
  </si>
  <si>
    <t>statampere (statA) abampere (abA)</t>
  </si>
  <si>
    <t>temperature ( T )</t>
  </si>
  <si>
    <t>kelvin (ºK or K)</t>
  </si>
  <si>
    <t>degree Celsius (ºC or C) degree Fahrenheit (ºF or F) degree Rankine (ºR or R)</t>
  </si>
  <si>
    <t>amount of substance</t>
  </si>
  <si>
    <t>mole (mol)</t>
  </si>
  <si>
    <t>luminous intensity ( B or L )</t>
  </si>
  <si>
    <t>candela (cd)</t>
  </si>
  <si>
    <t>area ( A )</t>
  </si>
  <si>
    <t>meter squared (m 2 )</t>
  </si>
  <si>
    <t>centimeter squared (cm 2 ) circular mil  foot squared (ft 2 )</t>
  </si>
  <si>
    <t>volume ( V )</t>
  </si>
  <si>
    <t>meter cubed (m 3 )</t>
  </si>
  <si>
    <t>centimeter cubed (cm 3 ) foot cubed (ft 3 )</t>
  </si>
  <si>
    <t>material density ( D )</t>
  </si>
  <si>
    <t>kilogram per meter cubed  (kg/m 3 or kg · m -3 )</t>
  </si>
  <si>
    <t>gram per centimeter cubed  (g/cm 3 or g · cm -3 )</t>
  </si>
  <si>
    <t>specific volume</t>
  </si>
  <si>
    <t>meter cubed per kilogram  (m 3 /kg or m 3 · kg -1 )</t>
  </si>
  <si>
    <t>centimeter cubed per gram  (cm 3 /g or cm 3 · g -1 )</t>
  </si>
  <si>
    <t>amount of substance concentration</t>
  </si>
  <si>
    <t>mole per meter cubed  (mol/m 3 or mol · m -3 )</t>
  </si>
  <si>
    <t>force ( F or F ) weight</t>
  </si>
  <si>
    <t>newton (N)</t>
  </si>
  <si>
    <t>dyne (dyn) pound (lb)</t>
  </si>
  <si>
    <t>impulse ( I or I )</t>
  </si>
  <si>
    <t>newton-second (N · s)</t>
  </si>
  <si>
    <t>dyne-second (dyn · s)</t>
  </si>
  <si>
    <t>work ( w )</t>
  </si>
  <si>
    <t>newton-meter (N · m)</t>
  </si>
  <si>
    <t>dyne-centimeter (dyn · cm)</t>
  </si>
  <si>
    <t>pressure ( P )</t>
  </si>
  <si>
    <t>pascal (Pa)</t>
  </si>
  <si>
    <t>dyne per centimeter squared (dyn/cm 2 or dyn · cm -2 )</t>
  </si>
  <si>
    <t>speed ( s ) velocity ( v or v )</t>
  </si>
  <si>
    <t>meter per second  (m/s or m · s -1 )</t>
  </si>
  <si>
    <t>centimeter per second  (cm/s or cm · s -1 )</t>
  </si>
  <si>
    <t>momentum ( p or p )</t>
  </si>
  <si>
    <t>kilogram-meter per second  (kg · m/s or kg · m · s -1 )</t>
  </si>
  <si>
    <t>gram-centimeter per second  (g · cm/s or g · cm · s -1 )</t>
  </si>
  <si>
    <t>acceleration ( a or a )</t>
  </si>
  <si>
    <t>meter per second squared  (m/s 2 or m · s -2 )</t>
  </si>
  <si>
    <t>centi meter per second squared  (cm/s 2 or cm · s -2 ) gravity (g)</t>
  </si>
  <si>
    <t>current density</t>
  </si>
  <si>
    <t>ampere per meter squared  (A/m 2 or A · m -2 )</t>
  </si>
  <si>
    <t>ampere per centimeter squared  (A/cm 2 or A · cm -2 )</t>
  </si>
  <si>
    <t>electromotive force (emf) voltage ( V or E )</t>
  </si>
  <si>
    <t>volt (V)</t>
  </si>
  <si>
    <t>statvolt (statV) abvolt (abV)</t>
  </si>
  <si>
    <t>resistance ( R )</t>
  </si>
  <si>
    <t>ohm</t>
  </si>
  <si>
    <t>statohm  abohm</t>
  </si>
  <si>
    <t>conductance ( G )</t>
  </si>
  <si>
    <t>siemens (S)</t>
  </si>
  <si>
    <t>statsiemens (statS) absiemens (abS)</t>
  </si>
  <si>
    <t>electric field strength ( E )</t>
  </si>
  <si>
    <t>volt per meter  (V/m or V · m -1 )</t>
  </si>
  <si>
    <t>microvolt per meter  (µV/m or µV · m -1 )</t>
  </si>
  <si>
    <t>electric flux density ( D )</t>
  </si>
  <si>
    <t>coulomb per meter squared  (C/m 2 or C · m -2 )</t>
  </si>
  <si>
    <t>coulomb per centimeter squared  (C/cm 2 or C · cm -2 )</t>
  </si>
  <si>
    <t>electric charge density</t>
  </si>
  <si>
    <t>coulomb per meter cubed  (C/m 3 or C · m -3 )</t>
  </si>
  <si>
    <t>coulomb per centimeter cubed  (C/cm 3 or C · cm -3 )</t>
  </si>
  <si>
    <t>permittivity</t>
  </si>
  <si>
    <t>farad per meter  (F/m or F · m -1 )</t>
  </si>
  <si>
    <t>picofarad per meter  (pF/m or pF · m -1 ) microfarad per meter  (µF/m or µF · m -1 )</t>
  </si>
  <si>
    <t>power ( P )</t>
  </si>
  <si>
    <t>watt (W)</t>
  </si>
  <si>
    <t>horsepower (hp) statwatt (statW) abwatt (abW)</t>
  </si>
  <si>
    <t>energy ( E )</t>
  </si>
  <si>
    <t>joule (J)</t>
  </si>
  <si>
    <t>erg (erg) watt hour (Wh) kilowatt hour (kWh)</t>
  </si>
  <si>
    <t>heat ( h )</t>
  </si>
  <si>
    <t>calorie (cal)</t>
  </si>
  <si>
    <t>kilocalorie (kcal) British thermal unit (Btu)</t>
  </si>
  <si>
    <t>magnetomotive force ( M ormmf)</t>
  </si>
  <si>
    <t>ampere-turn (AT)</t>
  </si>
  <si>
    <t>gilbert (G)</t>
  </si>
  <si>
    <t>charge quantity ( Q )</t>
  </si>
  <si>
    <t>coulomb (C)</t>
  </si>
  <si>
    <t>statcoulomb (statC) abcoulomb (abC) faraday</t>
  </si>
  <si>
    <t>capacitance ( C )</t>
  </si>
  <si>
    <t>farad (F)</t>
  </si>
  <si>
    <t>statfarad (statF) abfarad (abF)</t>
  </si>
  <si>
    <t>inductance ( L )</t>
  </si>
  <si>
    <t>henry (H)</t>
  </si>
  <si>
    <t>stathenry (statH) abhenry (abH)</t>
  </si>
  <si>
    <t>magnetic flux</t>
  </si>
  <si>
    <t>weber (Wb)</t>
  </si>
  <si>
    <t>maxwell (Mx)</t>
  </si>
  <si>
    <t>magnetic flux density</t>
  </si>
  <si>
    <t>tesla (T)</t>
  </si>
  <si>
    <t>gauss (G)</t>
  </si>
  <si>
    <t>magnetic field strength ( H )</t>
  </si>
  <si>
    <t>ampere per meter  (A/m or A · m -1 )</t>
  </si>
  <si>
    <t>oersted (Oe)</t>
  </si>
  <si>
    <t>permeability ( µ )</t>
  </si>
  <si>
    <t>henry per meter  (H/m or H · m -1 )</t>
  </si>
  <si>
    <t>microhenry per meter  (µH/m or µH · m -1 )</t>
  </si>
  <si>
    <t>electromagnetic field strength</t>
  </si>
  <si>
    <t>watt per meter squared  (W/m 2 or W · m -2 )</t>
  </si>
  <si>
    <t>microwatt per meter squared  (µW/m 2 or µW · m -2 )</t>
  </si>
  <si>
    <t>radiant intensity</t>
  </si>
  <si>
    <t>watt per steradian  (W/sr or W · sr -1 )</t>
  </si>
  <si>
    <t>luminous flux</t>
  </si>
  <si>
    <t>lumen (lm)</t>
  </si>
  <si>
    <t>luminance</t>
  </si>
  <si>
    <t>candela per meter squared  (cd/m 2 or cd · m -2 )</t>
  </si>
  <si>
    <t>candela per centimeter squared  (cd/cm 2 or cd · cm -2 )</t>
  </si>
  <si>
    <t>illuminance</t>
  </si>
  <si>
    <t>lux (lx)</t>
  </si>
  <si>
    <t>plane angular measure</t>
  </si>
  <si>
    <t>radian (rad)</t>
  </si>
  <si>
    <t>angular degree (deg or º)</t>
  </si>
  <si>
    <t>solid angular measure</t>
  </si>
  <si>
    <t>steradian (sr)</t>
  </si>
  <si>
    <t>angular speed  angular velocity</t>
  </si>
  <si>
    <t>radian per second  (rad/s or rad · s -1 )</t>
  </si>
  <si>
    <t>degree per second  (deg/s or deg · s -1 )</t>
  </si>
  <si>
    <t>angular acceleration</t>
  </si>
  <si>
    <t>radian per second squared  (rad/s 2 or rad · s -2 )</t>
  </si>
  <si>
    <t>degree per second squared  (deg/s 2 or deg · s -2 )</t>
  </si>
  <si>
    <t>ionizing radiation</t>
  </si>
  <si>
    <t>becquerel (Bq)</t>
  </si>
  <si>
    <t>curie (cu)</t>
  </si>
  <si>
    <t>absorbed ionizing radiation dose</t>
  </si>
  <si>
    <t>gray (Gy)</t>
  </si>
  <si>
    <t>rad (rad)</t>
  </si>
  <si>
    <t>frequency ( f )</t>
  </si>
  <si>
    <t>hertz (Hz)</t>
  </si>
  <si>
    <t>kilohertz (kHz) megahertz (MHz) gigahertz (GHz) terahertz (THz)</t>
  </si>
  <si>
    <t>wavelength</t>
  </si>
  <si>
    <t>centimeter (cm) millimeter (mm) micrometer (µm or µ) nanometer (nm) Angström (Å)</t>
  </si>
  <si>
    <t>wave number</t>
  </si>
  <si>
    <t>reciprocal meter (m -1 )</t>
  </si>
  <si>
    <t>data quantity</t>
  </si>
  <si>
    <t>bit (b) byte (B)</t>
  </si>
  <si>
    <t>kilobit (kb) megabit (Mb) gigabit (Gb) terabit (Tb) petabit (Pb) exabit (Eb) kilobyte (KB) megabyte (MB) gigabyte (GB) terabyte (TB) petabyte (PB) exabyte (EB)</t>
  </si>
  <si>
    <t>bandwidth (signal)</t>
  </si>
  <si>
    <t>Hertz (Hz)</t>
  </si>
  <si>
    <t>kilohertz ( kHz ) megahertz ( MHz )</t>
  </si>
  <si>
    <t>bandwidth (data transfer rate)</t>
  </si>
  <si>
    <t>bit per second ( bps )</t>
  </si>
  <si>
    <t>kilobit per second  (Kbps) megabit per second  (Mbps) gigabit per second  (Gbps) character per second  (cps)</t>
  </si>
  <si>
    <r>
      <rPr>
        <b/>
        <sz val="12"/>
        <color theme="1"/>
        <rFont val="Times New Roman"/>
        <family val="1"/>
      </rPr>
      <t xml:space="preserve">Table of Physical Units </t>
    </r>
    <r>
      <rPr>
        <sz val="12"/>
        <color theme="1"/>
        <rFont val="Times New Roman"/>
        <family val="1"/>
      </rPr>
      <t xml:space="preserve">
This table contains links to definitions of physical quantities, phenomena, and units, primarily in the International System of Units (SI) and the meter-kilogram-second (MKS) system.</t>
    </r>
  </si>
  <si>
    <t>Quantity or phenomenon</t>
  </si>
  <si>
    <t>Symbol</t>
  </si>
  <si>
    <t>SI unit value</t>
  </si>
  <si>
    <t>Alternate unit value</t>
  </si>
  <si>
    <t>astronomical unit</t>
  </si>
  <si>
    <t>AU</t>
  </si>
  <si>
    <t>1.4959787 x 1011 meters</t>
  </si>
  <si>
    <r>
      <t>1.4959787 x 10</t>
    </r>
    <r>
      <rPr>
        <vertAlign val="superscript"/>
        <sz val="12"/>
        <color theme="1"/>
        <rFont val="Times New Roman"/>
        <family val="1"/>
      </rPr>
      <t>8</t>
    </r>
    <r>
      <rPr>
        <sz val="12"/>
        <color theme="1"/>
        <rFont val="Times New Roman"/>
        <family val="1"/>
      </rPr>
      <t xml:space="preserve"> kilometers</t>
    </r>
  </si>
  <si>
    <t>atomic mass unit</t>
  </si>
  <si>
    <t>amu</t>
  </si>
  <si>
    <r>
      <t>1.67377 x 10</t>
    </r>
    <r>
      <rPr>
        <vertAlign val="superscript"/>
        <sz val="12"/>
        <color theme="1"/>
        <rFont val="Times New Roman"/>
        <family val="1"/>
      </rPr>
      <t>-27</t>
    </r>
    <r>
      <rPr>
        <sz val="12"/>
        <color theme="1"/>
        <rFont val="Times New Roman"/>
        <family val="1"/>
      </rPr>
      <t xml:space="preserve"> kilogram</t>
    </r>
  </si>
  <si>
    <r>
      <t>1.67377 x 10</t>
    </r>
    <r>
      <rPr>
        <vertAlign val="superscript"/>
        <sz val="12"/>
        <color theme="1"/>
        <rFont val="Times New Roman"/>
        <family val="1"/>
      </rPr>
      <t>-24</t>
    </r>
    <r>
      <rPr>
        <sz val="12"/>
        <color theme="1"/>
        <rFont val="Times New Roman"/>
        <family val="1"/>
      </rPr>
      <t xml:space="preserve"> gram</t>
    </r>
  </si>
  <si>
    <r>
      <t>N</t>
    </r>
    <r>
      <rPr>
        <sz val="12"/>
        <color theme="1"/>
        <rFont val="Times New Roman"/>
        <family val="1"/>
      </rPr>
      <t xml:space="preserve">, </t>
    </r>
    <r>
      <rPr>
        <i/>
        <sz val="12"/>
        <color theme="1"/>
        <rFont val="Times New Roman"/>
        <family val="1"/>
      </rPr>
      <t>L</t>
    </r>
  </si>
  <si>
    <r>
      <t>6.022169 x 10</t>
    </r>
    <r>
      <rPr>
        <vertAlign val="superscript"/>
        <sz val="12"/>
        <color theme="1"/>
        <rFont val="Times New Roman"/>
        <family val="1"/>
      </rPr>
      <t>23</t>
    </r>
  </si>
  <si>
    <t>Bohr magneton</t>
  </si>
  <si>
    <r>
      <t>µ</t>
    </r>
    <r>
      <rPr>
        <vertAlign val="subscript"/>
        <sz val="12"/>
        <color theme="1"/>
        <rFont val="Times New Roman"/>
        <family val="1"/>
      </rPr>
      <t>B</t>
    </r>
  </si>
  <si>
    <r>
      <t>9.274 x 10</t>
    </r>
    <r>
      <rPr>
        <vertAlign val="superscript"/>
        <sz val="12"/>
        <color theme="1"/>
        <rFont val="Times New Roman"/>
        <family val="1"/>
      </rPr>
      <t>-24</t>
    </r>
    <r>
      <rPr>
        <sz val="12"/>
        <color theme="1"/>
        <rFont val="Times New Roman"/>
        <family val="1"/>
      </rPr>
      <t xml:space="preserve"> joule per tesla</t>
    </r>
  </si>
  <si>
    <t>9.274 x 10-28 joule per gauss</t>
  </si>
  <si>
    <t>Bohr radius</t>
  </si>
  <si>
    <r>
      <t>a</t>
    </r>
    <r>
      <rPr>
        <vertAlign val="subscript"/>
        <sz val="12"/>
        <color theme="1"/>
        <rFont val="Times New Roman"/>
        <family val="1"/>
      </rPr>
      <t>o</t>
    </r>
  </si>
  <si>
    <t>5.29177 x 10-11 meter</t>
  </si>
  <si>
    <r>
      <t>5.29177 x 10</t>
    </r>
    <r>
      <rPr>
        <vertAlign val="superscript"/>
        <sz val="12"/>
        <color theme="1"/>
        <rFont val="Times New Roman"/>
        <family val="1"/>
      </rPr>
      <t>-9</t>
    </r>
    <r>
      <rPr>
        <sz val="12"/>
        <color theme="1"/>
        <rFont val="Times New Roman"/>
        <family val="1"/>
      </rPr>
      <t xml:space="preserve"> centimeter</t>
    </r>
  </si>
  <si>
    <t>Boltzmann's constant</t>
  </si>
  <si>
    <t>1.3807 x 10-23 joule per kelvin</t>
  </si>
  <si>
    <t>1.3807 x 10-16 erg per kelvin</t>
  </si>
  <si>
    <t>characteristic impedance of free space</t>
  </si>
  <si>
    <r>
      <t>Z</t>
    </r>
    <r>
      <rPr>
        <vertAlign val="subscript"/>
        <sz val="12"/>
        <color theme="1"/>
        <rFont val="Times New Roman"/>
        <family val="1"/>
      </rPr>
      <t>o</t>
    </r>
  </si>
  <si>
    <t>377 ohms</t>
  </si>
  <si>
    <t>Compton wavelength of electron</t>
  </si>
  <si>
    <t>ce</t>
  </si>
  <si>
    <r>
      <t>2.4263 x 10</t>
    </r>
    <r>
      <rPr>
        <vertAlign val="superscript"/>
        <sz val="12"/>
        <color theme="1"/>
        <rFont val="Times New Roman"/>
        <family val="1"/>
      </rPr>
      <t>-12</t>
    </r>
    <r>
      <rPr>
        <sz val="12"/>
        <color theme="1"/>
        <rFont val="Times New Roman"/>
        <family val="1"/>
      </rPr>
      <t xml:space="preserve"> meter</t>
    </r>
  </si>
  <si>
    <r>
      <t>2.4263 x 10</t>
    </r>
    <r>
      <rPr>
        <vertAlign val="superscript"/>
        <sz val="12"/>
        <color theme="1"/>
        <rFont val="Times New Roman"/>
        <family val="1"/>
      </rPr>
      <t>-10</t>
    </r>
    <r>
      <rPr>
        <sz val="12"/>
        <color theme="1"/>
        <rFont val="Times New Roman"/>
        <family val="1"/>
      </rPr>
      <t xml:space="preserve"> centimeter</t>
    </r>
  </si>
  <si>
    <t>Compton wavelength of proton</t>
  </si>
  <si>
    <t>cp</t>
  </si>
  <si>
    <r>
      <t>1.3214 x 10</t>
    </r>
    <r>
      <rPr>
        <vertAlign val="superscript"/>
        <sz val="12"/>
        <color theme="1"/>
        <rFont val="Times New Roman"/>
        <family val="1"/>
      </rPr>
      <t>-15</t>
    </r>
    <r>
      <rPr>
        <sz val="12"/>
        <color theme="1"/>
        <rFont val="Times New Roman"/>
        <family val="1"/>
      </rPr>
      <t xml:space="preserve"> meter</t>
    </r>
  </si>
  <si>
    <r>
      <t>1.3214 x 10</t>
    </r>
    <r>
      <rPr>
        <vertAlign val="superscript"/>
        <sz val="12"/>
        <color theme="1"/>
        <rFont val="Times New Roman"/>
        <family val="1"/>
      </rPr>
      <t>-13</t>
    </r>
    <r>
      <rPr>
        <sz val="12"/>
        <color theme="1"/>
        <rFont val="Times New Roman"/>
        <family val="1"/>
      </rPr>
      <t xml:space="preserve"> centimeter</t>
    </r>
  </si>
  <si>
    <t>Compton wavelength of neutron</t>
  </si>
  <si>
    <t>cn</t>
  </si>
  <si>
    <r>
      <t>1.3196 x 10</t>
    </r>
    <r>
      <rPr>
        <vertAlign val="superscript"/>
        <sz val="12"/>
        <color theme="1"/>
        <rFont val="Times New Roman"/>
        <family val="1"/>
      </rPr>
      <t>-15</t>
    </r>
    <r>
      <rPr>
        <sz val="12"/>
        <color theme="1"/>
        <rFont val="Times New Roman"/>
        <family val="1"/>
      </rPr>
      <t xml:space="preserve"> meter</t>
    </r>
  </si>
  <si>
    <r>
      <t>1.3196 x 10</t>
    </r>
    <r>
      <rPr>
        <vertAlign val="superscript"/>
        <sz val="12"/>
        <color theme="1"/>
        <rFont val="Times New Roman"/>
        <family val="1"/>
      </rPr>
      <t>-13</t>
    </r>
    <r>
      <rPr>
        <sz val="12"/>
        <color theme="1"/>
        <rFont val="Times New Roman"/>
        <family val="1"/>
      </rPr>
      <t xml:space="preserve"> centimeter</t>
    </r>
  </si>
  <si>
    <t>Earth's mass</t>
  </si>
  <si>
    <r>
      <t>m</t>
    </r>
    <r>
      <rPr>
        <vertAlign val="subscript"/>
        <sz val="12"/>
        <color theme="1"/>
        <rFont val="Times New Roman"/>
        <family val="1"/>
      </rPr>
      <t>earth</t>
    </r>
  </si>
  <si>
    <r>
      <t>5.974 x 10</t>
    </r>
    <r>
      <rPr>
        <vertAlign val="superscript"/>
        <sz val="12"/>
        <color theme="1"/>
        <rFont val="Times New Roman"/>
        <family val="1"/>
      </rPr>
      <t>24</t>
    </r>
    <r>
      <rPr>
        <sz val="12"/>
        <color theme="1"/>
        <rFont val="Times New Roman"/>
        <family val="1"/>
      </rPr>
      <t xml:space="preserve"> kilograms</t>
    </r>
  </si>
  <si>
    <r>
      <t>5.974 x 10</t>
    </r>
    <r>
      <rPr>
        <vertAlign val="superscript"/>
        <sz val="12"/>
        <color theme="1"/>
        <rFont val="Times New Roman"/>
        <family val="1"/>
      </rPr>
      <t>27</t>
    </r>
    <r>
      <rPr>
        <sz val="12"/>
        <color theme="1"/>
        <rFont val="Times New Roman"/>
        <family val="1"/>
      </rPr>
      <t xml:space="preserve"> grams</t>
    </r>
  </si>
  <si>
    <t>Earth's mean orbital speed</t>
  </si>
  <si>
    <r>
      <t>v</t>
    </r>
    <r>
      <rPr>
        <vertAlign val="subscript"/>
        <sz val="12"/>
        <color theme="1"/>
        <rFont val="Times New Roman"/>
        <family val="1"/>
      </rPr>
      <t>earth</t>
    </r>
  </si>
  <si>
    <t>30 kilometers per second</t>
  </si>
  <si>
    <t>18.5 miles per second</t>
  </si>
  <si>
    <t>Earth's mean radius</t>
  </si>
  <si>
    <r>
      <t>r</t>
    </r>
    <r>
      <rPr>
        <vertAlign val="subscript"/>
        <sz val="12"/>
        <color theme="1"/>
        <rFont val="Times New Roman"/>
        <family val="1"/>
      </rPr>
      <t>earth</t>
    </r>
  </si>
  <si>
    <r>
      <t>6.371 x 10</t>
    </r>
    <r>
      <rPr>
        <vertAlign val="superscript"/>
        <sz val="12"/>
        <color theme="1"/>
        <rFont val="Times New Roman"/>
        <family val="1"/>
      </rPr>
      <t>6</t>
    </r>
    <r>
      <rPr>
        <sz val="12"/>
        <color theme="1"/>
        <rFont val="Times New Roman"/>
        <family val="1"/>
      </rPr>
      <t xml:space="preserve"> meters</t>
    </r>
  </si>
  <si>
    <t>6371 kilometers</t>
  </si>
  <si>
    <t>electron radius</t>
  </si>
  <si>
    <r>
      <t>r</t>
    </r>
    <r>
      <rPr>
        <vertAlign val="subscript"/>
        <sz val="12"/>
        <color theme="1"/>
        <rFont val="Times New Roman"/>
        <family val="1"/>
      </rPr>
      <t>e</t>
    </r>
  </si>
  <si>
    <r>
      <t>2.81794 x 10</t>
    </r>
    <r>
      <rPr>
        <vertAlign val="superscript"/>
        <sz val="12"/>
        <color theme="1"/>
        <rFont val="Times New Roman"/>
        <family val="1"/>
      </rPr>
      <t>-15</t>
    </r>
    <r>
      <rPr>
        <sz val="12"/>
        <color theme="1"/>
        <rFont val="Times New Roman"/>
        <family val="1"/>
      </rPr>
      <t xml:space="preserve"> meter</t>
    </r>
  </si>
  <si>
    <r>
      <t>2.81794 x 10</t>
    </r>
    <r>
      <rPr>
        <vertAlign val="superscript"/>
        <sz val="12"/>
        <color theme="1"/>
        <rFont val="Times New Roman"/>
        <family val="1"/>
      </rPr>
      <t>-13</t>
    </r>
    <r>
      <rPr>
        <sz val="12"/>
        <color theme="1"/>
        <rFont val="Times New Roman"/>
        <family val="1"/>
      </rPr>
      <t xml:space="preserve"> centimeter</t>
    </r>
  </si>
  <si>
    <t>electron rest mass</t>
  </si>
  <si>
    <r>
      <t>m</t>
    </r>
    <r>
      <rPr>
        <vertAlign val="subscript"/>
        <sz val="12"/>
        <color theme="1"/>
        <rFont val="Times New Roman"/>
        <family val="1"/>
      </rPr>
      <t>e</t>
    </r>
  </si>
  <si>
    <r>
      <t>9.10956 x 10</t>
    </r>
    <r>
      <rPr>
        <vertAlign val="superscript"/>
        <sz val="12"/>
        <color theme="1"/>
        <rFont val="Times New Roman"/>
        <family val="1"/>
      </rPr>
      <t>-31</t>
    </r>
    <r>
      <rPr>
        <sz val="12"/>
        <color theme="1"/>
        <rFont val="Times New Roman"/>
        <family val="1"/>
      </rPr>
      <t xml:space="preserve"> kilogram</t>
    </r>
  </si>
  <si>
    <r>
      <t>9.10956 x 10</t>
    </r>
    <r>
      <rPr>
        <vertAlign val="superscript"/>
        <sz val="12"/>
        <color theme="1"/>
        <rFont val="Times New Roman"/>
        <family val="1"/>
      </rPr>
      <t>-28</t>
    </r>
    <r>
      <rPr>
        <sz val="12"/>
        <color theme="1"/>
        <rFont val="Times New Roman"/>
        <family val="1"/>
      </rPr>
      <t xml:space="preserve"> gram</t>
    </r>
  </si>
  <si>
    <t>elementary charge</t>
  </si>
  <si>
    <r>
      <t>1.60 x 10</t>
    </r>
    <r>
      <rPr>
        <vertAlign val="superscript"/>
        <sz val="12"/>
        <color theme="1"/>
        <rFont val="Times New Roman"/>
        <family val="1"/>
      </rPr>
      <t>-19</t>
    </r>
    <r>
      <rPr>
        <sz val="12"/>
        <color theme="1"/>
        <rFont val="Times New Roman"/>
        <family val="1"/>
      </rPr>
      <t xml:space="preserve"> coulomb</t>
    </r>
  </si>
  <si>
    <t>Euler's constant</t>
  </si>
  <si>
    <t>Faraday constant</t>
  </si>
  <si>
    <r>
      <t>9.65 x 10</t>
    </r>
    <r>
      <rPr>
        <vertAlign val="superscript"/>
        <sz val="12"/>
        <color theme="1"/>
        <rFont val="Times New Roman"/>
        <family val="1"/>
      </rPr>
      <t>4</t>
    </r>
    <r>
      <rPr>
        <sz val="12"/>
        <color theme="1"/>
        <rFont val="Times New Roman"/>
        <family val="1"/>
      </rPr>
      <t xml:space="preserve"> coulombs per mole</t>
    </r>
  </si>
  <si>
    <t>fine structure constant</t>
  </si>
  <si>
    <t>first radiation constant</t>
  </si>
  <si>
    <r>
      <t>c</t>
    </r>
    <r>
      <rPr>
        <vertAlign val="subscript"/>
        <sz val="12"/>
        <color theme="1"/>
        <rFont val="Times New Roman"/>
        <family val="1"/>
      </rPr>
      <t>1</t>
    </r>
  </si>
  <si>
    <r>
      <t>4.9926 x 10</t>
    </r>
    <r>
      <rPr>
        <vertAlign val="superscript"/>
        <sz val="12"/>
        <color theme="1"/>
        <rFont val="Times New Roman"/>
        <family val="1"/>
      </rPr>
      <t>-24</t>
    </r>
    <r>
      <rPr>
        <sz val="12"/>
        <color theme="1"/>
        <rFont val="Times New Roman"/>
        <family val="1"/>
      </rPr>
      <t xml:space="preserve"> joule-meter</t>
    </r>
  </si>
  <si>
    <r>
      <t>4.9926 x 10</t>
    </r>
    <r>
      <rPr>
        <vertAlign val="superscript"/>
        <sz val="12"/>
        <color theme="1"/>
        <rFont val="Times New Roman"/>
        <family val="1"/>
      </rPr>
      <t>-15</t>
    </r>
    <r>
      <rPr>
        <sz val="12"/>
        <color theme="1"/>
        <rFont val="Times New Roman"/>
        <family val="1"/>
      </rPr>
      <t xml:space="preserve"> erg-centimeter</t>
    </r>
  </si>
  <si>
    <t>gas constant</t>
  </si>
  <si>
    <t>8.3145 joules per kelvin per mole</t>
  </si>
  <si>
    <r>
      <t>8.3145 x 10</t>
    </r>
    <r>
      <rPr>
        <vertAlign val="superscript"/>
        <sz val="12"/>
        <color theme="1"/>
        <rFont val="Times New Roman"/>
        <family val="1"/>
      </rPr>
      <t>7</t>
    </r>
    <r>
      <rPr>
        <sz val="12"/>
        <color theme="1"/>
        <rFont val="Times New Roman"/>
        <family val="1"/>
      </rPr>
      <t xml:space="preserve"> ergs per kelvin per mole</t>
    </r>
  </si>
  <si>
    <t>gravitational acceleration at Earth's surface</t>
  </si>
  <si>
    <r>
      <t>980.67 cms/sec</t>
    </r>
    <r>
      <rPr>
        <vertAlign val="superscript"/>
        <sz val="12"/>
        <color theme="1"/>
        <rFont val="Times New Roman"/>
        <family val="1"/>
      </rPr>
      <t>2</t>
    </r>
  </si>
  <si>
    <t>gravitational constant</t>
  </si>
  <si>
    <r>
      <t>6.67 x 10</t>
    </r>
    <r>
      <rPr>
        <vertAlign val="superscript"/>
        <sz val="12"/>
        <color theme="1"/>
        <rFont val="Times New Roman"/>
        <family val="1"/>
      </rPr>
      <t>-11</t>
    </r>
    <r>
      <rPr>
        <sz val="12"/>
        <color theme="1"/>
        <rFont val="Times New Roman"/>
        <family val="1"/>
      </rPr>
      <t xml:space="preserve"> newton meter squared per kilogram squared</t>
    </r>
  </si>
  <si>
    <t>Hartree energy</t>
  </si>
  <si>
    <r>
      <t>E</t>
    </r>
    <r>
      <rPr>
        <vertAlign val="subscript"/>
        <sz val="12"/>
        <color theme="1"/>
        <rFont val="Times New Roman"/>
        <family val="1"/>
      </rPr>
      <t>h</t>
    </r>
  </si>
  <si>
    <r>
      <t>4.3597 x 10</t>
    </r>
    <r>
      <rPr>
        <vertAlign val="superscript"/>
        <sz val="12"/>
        <color theme="1"/>
        <rFont val="Times New Roman"/>
        <family val="1"/>
      </rPr>
      <t>-18</t>
    </r>
    <r>
      <rPr>
        <sz val="12"/>
        <color theme="1"/>
        <rFont val="Times New Roman"/>
        <family val="1"/>
      </rPr>
      <t xml:space="preserve"> joule</t>
    </r>
  </si>
  <si>
    <r>
      <t>4.3597 x 10</t>
    </r>
    <r>
      <rPr>
        <vertAlign val="superscript"/>
        <sz val="12"/>
        <color theme="1"/>
        <rFont val="Times New Roman"/>
        <family val="1"/>
      </rPr>
      <t>-11</t>
    </r>
    <r>
      <rPr>
        <sz val="12"/>
        <color theme="1"/>
        <rFont val="Times New Roman"/>
        <family val="1"/>
      </rPr>
      <t xml:space="preserve"> erg</t>
    </r>
  </si>
  <si>
    <t>Moon's mass</t>
  </si>
  <si>
    <r>
      <t>m</t>
    </r>
    <r>
      <rPr>
        <vertAlign val="subscript"/>
        <sz val="12"/>
        <color theme="1"/>
        <rFont val="Times New Roman"/>
        <family val="1"/>
      </rPr>
      <t>moon</t>
    </r>
  </si>
  <si>
    <r>
      <t>7.348 x 10</t>
    </r>
    <r>
      <rPr>
        <vertAlign val="superscript"/>
        <sz val="12"/>
        <color theme="1"/>
        <rFont val="Times New Roman"/>
        <family val="1"/>
      </rPr>
      <t>22</t>
    </r>
    <r>
      <rPr>
        <sz val="12"/>
        <color theme="1"/>
        <rFont val="Times New Roman"/>
        <family val="1"/>
      </rPr>
      <t xml:space="preserve"> kilograms</t>
    </r>
  </si>
  <si>
    <r>
      <t>7.348 x 10</t>
    </r>
    <r>
      <rPr>
        <vertAlign val="superscript"/>
        <sz val="12"/>
        <color theme="1"/>
        <rFont val="Times New Roman"/>
        <family val="1"/>
      </rPr>
      <t>25</t>
    </r>
    <r>
      <rPr>
        <sz val="12"/>
        <color theme="1"/>
        <rFont val="Times New Roman"/>
        <family val="1"/>
      </rPr>
      <t xml:space="preserve"> grams</t>
    </r>
  </si>
  <si>
    <t>Moon's mean radius</t>
  </si>
  <si>
    <r>
      <t>r</t>
    </r>
    <r>
      <rPr>
        <vertAlign val="subscript"/>
        <sz val="12"/>
        <color theme="1"/>
        <rFont val="Times New Roman"/>
        <family val="1"/>
      </rPr>
      <t>moon</t>
    </r>
  </si>
  <si>
    <r>
      <t>1.738 x 10</t>
    </r>
    <r>
      <rPr>
        <vertAlign val="superscript"/>
        <sz val="12"/>
        <color theme="1"/>
        <rFont val="Times New Roman"/>
        <family val="1"/>
      </rPr>
      <t>6</t>
    </r>
    <r>
      <rPr>
        <sz val="12"/>
        <color theme="1"/>
        <rFont val="Times New Roman"/>
        <family val="1"/>
      </rPr>
      <t xml:space="preserve"> meters</t>
    </r>
  </si>
  <si>
    <t>1738 kilometers</t>
  </si>
  <si>
    <t>natural logarithm base</t>
  </si>
  <si>
    <t>neutron radius</t>
  </si>
  <si>
    <r>
      <t>r</t>
    </r>
    <r>
      <rPr>
        <vertAlign val="subscript"/>
        <sz val="12"/>
        <color theme="1"/>
        <rFont val="Times New Roman"/>
        <family val="1"/>
      </rPr>
      <t>n</t>
    </r>
  </si>
  <si>
    <t>neutron rest mass</t>
  </si>
  <si>
    <r>
      <t>m</t>
    </r>
    <r>
      <rPr>
        <vertAlign val="subscript"/>
        <sz val="12"/>
        <color theme="1"/>
        <rFont val="Times New Roman"/>
        <family val="1"/>
      </rPr>
      <t>n</t>
    </r>
  </si>
  <si>
    <r>
      <t>1.67492 x 10</t>
    </r>
    <r>
      <rPr>
        <vertAlign val="superscript"/>
        <sz val="12"/>
        <color theme="1"/>
        <rFont val="Times New Roman"/>
        <family val="1"/>
      </rPr>
      <t>-27</t>
    </r>
    <r>
      <rPr>
        <sz val="12"/>
        <color theme="1"/>
        <rFont val="Times New Roman"/>
        <family val="1"/>
      </rPr>
      <t xml:space="preserve"> kilogram</t>
    </r>
  </si>
  <si>
    <r>
      <t>1.67492 x 10</t>
    </r>
    <r>
      <rPr>
        <vertAlign val="superscript"/>
        <sz val="12"/>
        <color theme="1"/>
        <rFont val="Times New Roman"/>
        <family val="1"/>
      </rPr>
      <t>-24</t>
    </r>
    <r>
      <rPr>
        <sz val="12"/>
        <color theme="1"/>
        <rFont val="Times New Roman"/>
        <family val="1"/>
      </rPr>
      <t xml:space="preserve"> gram</t>
    </r>
  </si>
  <si>
    <t>nuclear magneton</t>
  </si>
  <si>
    <r>
      <t>µ</t>
    </r>
    <r>
      <rPr>
        <vertAlign val="subscript"/>
        <sz val="12"/>
        <color theme="1"/>
        <rFont val="Times New Roman"/>
        <family val="1"/>
      </rPr>
      <t>n</t>
    </r>
  </si>
  <si>
    <r>
      <t>5.051 x 10</t>
    </r>
    <r>
      <rPr>
        <vertAlign val="superscript"/>
        <sz val="12"/>
        <color theme="1"/>
        <rFont val="Times New Roman"/>
        <family val="1"/>
      </rPr>
      <t>-27</t>
    </r>
    <r>
      <rPr>
        <sz val="12"/>
        <color theme="1"/>
        <rFont val="Times New Roman"/>
        <family val="1"/>
      </rPr>
      <t xml:space="preserve"> joule per tesla</t>
    </r>
  </si>
  <si>
    <r>
      <t>5.051 x 10</t>
    </r>
    <r>
      <rPr>
        <vertAlign val="superscript"/>
        <sz val="12"/>
        <color theme="1"/>
        <rFont val="Times New Roman"/>
        <family val="1"/>
      </rPr>
      <t>-31</t>
    </r>
    <r>
      <rPr>
        <sz val="12"/>
        <color theme="1"/>
        <rFont val="Times New Roman"/>
        <family val="1"/>
      </rPr>
      <t xml:space="preserve"> joule per gauss</t>
    </r>
  </si>
  <si>
    <t>permeability of free space</t>
  </si>
  <si>
    <r>
      <t>µ</t>
    </r>
    <r>
      <rPr>
        <vertAlign val="subscript"/>
        <sz val="12"/>
        <color theme="1"/>
        <rFont val="Times New Roman"/>
        <family val="1"/>
      </rPr>
      <t>o</t>
    </r>
  </si>
  <si>
    <t>1.257 x 10-6 henry per meter</t>
  </si>
  <si>
    <t>1.257 microhenrys per meter</t>
  </si>
  <si>
    <t>permittivity of free space</t>
  </si>
  <si>
    <r>
      <t>8.85 x 10</t>
    </r>
    <r>
      <rPr>
        <vertAlign val="superscript"/>
        <sz val="12"/>
        <color theme="1"/>
        <rFont val="Times New Roman"/>
        <family val="1"/>
      </rPr>
      <t>-12</t>
    </r>
    <r>
      <rPr>
        <sz val="12"/>
        <color theme="1"/>
        <rFont val="Times New Roman"/>
        <family val="1"/>
      </rPr>
      <t xml:space="preserve"> farad per meter</t>
    </r>
  </si>
  <si>
    <t>8.85 picofarads per meter</t>
  </si>
  <si>
    <t>pi</t>
  </si>
  <si>
    <t>Planck's constant</t>
  </si>
  <si>
    <r>
      <t>6.626176 x 10</t>
    </r>
    <r>
      <rPr>
        <vertAlign val="superscript"/>
        <sz val="12"/>
        <color theme="1"/>
        <rFont val="Times New Roman"/>
        <family val="1"/>
      </rPr>
      <t>-34</t>
    </r>
    <r>
      <rPr>
        <sz val="12"/>
        <color theme="1"/>
        <rFont val="Times New Roman"/>
        <family val="1"/>
      </rPr>
      <t xml:space="preserve"> joule-second</t>
    </r>
  </si>
  <si>
    <r>
      <t>6.626176 x 10</t>
    </r>
    <r>
      <rPr>
        <vertAlign val="superscript"/>
        <sz val="12"/>
        <color theme="1"/>
        <rFont val="Times New Roman"/>
        <family val="1"/>
      </rPr>
      <t>-27</t>
    </r>
    <r>
      <rPr>
        <sz val="12"/>
        <color theme="1"/>
        <rFont val="Times New Roman"/>
        <family val="1"/>
      </rPr>
      <t xml:space="preserve"> erg-second</t>
    </r>
  </si>
  <si>
    <t>proton radius</t>
  </si>
  <si>
    <r>
      <t>r</t>
    </r>
    <r>
      <rPr>
        <vertAlign val="subscript"/>
        <sz val="12"/>
        <color theme="1"/>
        <rFont val="Times New Roman"/>
        <family val="1"/>
      </rPr>
      <t>p</t>
    </r>
  </si>
  <si>
    <r>
      <t>2 x 10</t>
    </r>
    <r>
      <rPr>
        <vertAlign val="superscript"/>
        <sz val="12"/>
        <color theme="1"/>
        <rFont val="Times New Roman"/>
        <family val="1"/>
      </rPr>
      <t>-16</t>
    </r>
    <r>
      <rPr>
        <sz val="12"/>
        <color theme="1"/>
        <rFont val="Times New Roman"/>
        <family val="1"/>
      </rPr>
      <t xml:space="preserve">  meter *</t>
    </r>
  </si>
  <si>
    <r>
      <t>2 x 10</t>
    </r>
    <r>
      <rPr>
        <vertAlign val="superscript"/>
        <sz val="12"/>
        <color theme="1"/>
        <rFont val="Times New Roman"/>
        <family val="1"/>
      </rPr>
      <t>-14</t>
    </r>
    <r>
      <rPr>
        <sz val="12"/>
        <color theme="1"/>
        <rFont val="Times New Roman"/>
        <family val="1"/>
      </rPr>
      <t xml:space="preserve">  centimeter *</t>
    </r>
  </si>
  <si>
    <t>proton rest mass</t>
  </si>
  <si>
    <r>
      <t>m</t>
    </r>
    <r>
      <rPr>
        <vertAlign val="subscript"/>
        <sz val="12"/>
        <color theme="1"/>
        <rFont val="Times New Roman"/>
        <family val="1"/>
      </rPr>
      <t>p</t>
    </r>
  </si>
  <si>
    <r>
      <t>1.67261 x 10</t>
    </r>
    <r>
      <rPr>
        <vertAlign val="superscript"/>
        <sz val="12"/>
        <color theme="1"/>
        <rFont val="Times New Roman"/>
        <family val="1"/>
      </rPr>
      <t>-27</t>
    </r>
    <r>
      <rPr>
        <sz val="12"/>
        <color theme="1"/>
        <rFont val="Times New Roman"/>
        <family val="1"/>
      </rPr>
      <t xml:space="preserve"> kilogram</t>
    </r>
  </si>
  <si>
    <r>
      <t>1.67261 x 10</t>
    </r>
    <r>
      <rPr>
        <vertAlign val="superscript"/>
        <sz val="12"/>
        <color theme="1"/>
        <rFont val="Times New Roman"/>
        <family val="1"/>
      </rPr>
      <t>-24</t>
    </r>
    <r>
      <rPr>
        <sz val="12"/>
        <color theme="1"/>
        <rFont val="Times New Roman"/>
        <family val="1"/>
      </rPr>
      <t xml:space="preserve"> gram</t>
    </r>
  </si>
  <si>
    <t>Rydberg constant</t>
  </si>
  <si>
    <r>
      <t>R</t>
    </r>
    <r>
      <rPr>
        <sz val="12"/>
        <color theme="1"/>
        <rFont val="Times New Roman"/>
        <family val="1"/>
      </rPr>
      <t xml:space="preserve"> or </t>
    </r>
    <r>
      <rPr>
        <i/>
        <sz val="12"/>
        <color theme="1"/>
        <rFont val="Times New Roman"/>
        <family val="1"/>
      </rPr>
      <t>R</t>
    </r>
    <r>
      <rPr>
        <vertAlign val="subscript"/>
        <sz val="12"/>
        <color theme="1"/>
        <rFont val="Times New Roman"/>
        <family val="1"/>
      </rPr>
      <t>H</t>
    </r>
  </si>
  <si>
    <r>
      <t>1.097 x 10</t>
    </r>
    <r>
      <rPr>
        <vertAlign val="superscript"/>
        <sz val="12"/>
        <color theme="1"/>
        <rFont val="Times New Roman"/>
        <family val="1"/>
      </rPr>
      <t>7</t>
    </r>
    <r>
      <rPr>
        <sz val="12"/>
        <color theme="1"/>
        <rFont val="Times New Roman"/>
        <family val="1"/>
      </rPr>
      <t xml:space="preserve"> per meter</t>
    </r>
  </si>
  <si>
    <r>
      <t>1.097 x 10</t>
    </r>
    <r>
      <rPr>
        <vertAlign val="superscript"/>
        <sz val="12"/>
        <color theme="1"/>
        <rFont val="Times New Roman"/>
        <family val="1"/>
      </rPr>
      <t>5</t>
    </r>
    <r>
      <rPr>
        <sz val="12"/>
        <color theme="1"/>
        <rFont val="Times New Roman"/>
        <family val="1"/>
      </rPr>
      <t xml:space="preserve"> per centimeter</t>
    </r>
  </si>
  <si>
    <t>second radiation constant</t>
  </si>
  <si>
    <r>
      <t>c</t>
    </r>
    <r>
      <rPr>
        <vertAlign val="subscript"/>
        <sz val="12"/>
        <color theme="1"/>
        <rFont val="Times New Roman"/>
        <family val="1"/>
      </rPr>
      <t>2</t>
    </r>
  </si>
  <si>
    <t>0.014388 meter-kelvin</t>
  </si>
  <si>
    <t>1.4388 centimeter-kelvin</t>
  </si>
  <si>
    <t>speed of light</t>
  </si>
  <si>
    <r>
      <t>2.99792 x 10</t>
    </r>
    <r>
      <rPr>
        <vertAlign val="superscript"/>
        <sz val="12"/>
        <color theme="1"/>
        <rFont val="Times New Roman"/>
        <family val="1"/>
      </rPr>
      <t>8</t>
    </r>
    <r>
      <rPr>
        <sz val="12"/>
        <color theme="1"/>
        <rFont val="Times New Roman"/>
        <family val="1"/>
      </rPr>
      <t xml:space="preserve"> meters per second</t>
    </r>
  </si>
  <si>
    <r>
      <t>2.99792 x 10</t>
    </r>
    <r>
      <rPr>
        <vertAlign val="superscript"/>
        <sz val="12"/>
        <color theme="1"/>
        <rFont val="Times New Roman"/>
        <family val="1"/>
      </rPr>
      <t>10</t>
    </r>
    <r>
      <rPr>
        <sz val="12"/>
        <color theme="1"/>
        <rFont val="Times New Roman"/>
        <family val="1"/>
      </rPr>
      <t xml:space="preserve"> centimeters per second</t>
    </r>
  </si>
  <si>
    <t>speed of sound in air</t>
  </si>
  <si>
    <r>
      <t>v</t>
    </r>
    <r>
      <rPr>
        <vertAlign val="subscript"/>
        <sz val="12"/>
        <color theme="1"/>
        <rFont val="Times New Roman"/>
        <family val="1"/>
      </rPr>
      <t>sound</t>
    </r>
  </si>
  <si>
    <t>331.4 meters per second</t>
  </si>
  <si>
    <t>1087 feet per second</t>
  </si>
  <si>
    <t>Stefan-Boltzmann constant</t>
  </si>
  <si>
    <r>
      <t>5.67 x 10</t>
    </r>
    <r>
      <rPr>
        <vertAlign val="superscript"/>
        <sz val="12"/>
        <color theme="1"/>
        <rFont val="Times New Roman"/>
        <family val="1"/>
      </rPr>
      <t>-8</t>
    </r>
    <r>
      <rPr>
        <sz val="12"/>
        <color theme="1"/>
        <rFont val="Times New Roman"/>
        <family val="1"/>
      </rPr>
      <t xml:space="preserve"> watt per meter squared per kelvin to the fourth</t>
    </r>
  </si>
  <si>
    <t>Sun's mass</t>
  </si>
  <si>
    <r>
      <t>m</t>
    </r>
    <r>
      <rPr>
        <vertAlign val="subscript"/>
        <sz val="12"/>
        <color theme="1"/>
        <rFont val="Times New Roman"/>
        <family val="1"/>
      </rPr>
      <t>sun</t>
    </r>
  </si>
  <si>
    <r>
      <t>1.989 x 10</t>
    </r>
    <r>
      <rPr>
        <vertAlign val="superscript"/>
        <sz val="12"/>
        <color theme="1"/>
        <rFont val="Times New Roman"/>
        <family val="1"/>
      </rPr>
      <t>30</t>
    </r>
    <r>
      <rPr>
        <sz val="12"/>
        <color theme="1"/>
        <rFont val="Times New Roman"/>
        <family val="1"/>
      </rPr>
      <t xml:space="preserve"> kilograms</t>
    </r>
  </si>
  <si>
    <r>
      <t>1.989 x 10</t>
    </r>
    <r>
      <rPr>
        <vertAlign val="superscript"/>
        <sz val="12"/>
        <color theme="1"/>
        <rFont val="Times New Roman"/>
        <family val="1"/>
      </rPr>
      <t>33</t>
    </r>
    <r>
      <rPr>
        <sz val="12"/>
        <color theme="1"/>
        <rFont val="Times New Roman"/>
        <family val="1"/>
      </rPr>
      <t xml:space="preserve"> grams</t>
    </r>
  </si>
  <si>
    <t>Sun's mean radius</t>
  </si>
  <si>
    <r>
      <t>r</t>
    </r>
    <r>
      <rPr>
        <vertAlign val="subscript"/>
        <sz val="12"/>
        <color theme="1"/>
        <rFont val="Times New Roman"/>
        <family val="1"/>
      </rPr>
      <t>sun</t>
    </r>
  </si>
  <si>
    <r>
      <t>6.970 x 10</t>
    </r>
    <r>
      <rPr>
        <vertAlign val="superscript"/>
        <sz val="12"/>
        <color theme="1"/>
        <rFont val="Times New Roman"/>
        <family val="1"/>
      </rPr>
      <t>8</t>
    </r>
    <r>
      <rPr>
        <sz val="12"/>
        <color theme="1"/>
        <rFont val="Times New Roman"/>
        <family val="1"/>
      </rPr>
      <t xml:space="preserve"> meters</t>
    </r>
  </si>
  <si>
    <r>
      <t>6.970 x 10</t>
    </r>
    <r>
      <rPr>
        <vertAlign val="superscript"/>
        <sz val="12"/>
        <color theme="1"/>
        <rFont val="Times New Roman"/>
        <family val="1"/>
      </rPr>
      <t>5</t>
    </r>
    <r>
      <rPr>
        <sz val="12"/>
        <color theme="1"/>
        <rFont val="Times New Roman"/>
        <family val="1"/>
      </rPr>
      <t xml:space="preserve"> kilometers</t>
    </r>
  </si>
  <si>
    <t>Wien's constant</t>
  </si>
  <si>
    <r>
      <t>2.898 x 10</t>
    </r>
    <r>
      <rPr>
        <vertAlign val="superscript"/>
        <sz val="12"/>
        <color theme="1"/>
        <rFont val="Times New Roman"/>
        <family val="1"/>
      </rPr>
      <t>-3</t>
    </r>
    <r>
      <rPr>
        <sz val="12"/>
        <color theme="1"/>
        <rFont val="Times New Roman"/>
        <family val="1"/>
      </rPr>
      <t xml:space="preserve"> meter-kelvin</t>
    </r>
  </si>
  <si>
    <t>0.2898 centimeter-kelvin</t>
  </si>
  <si>
    <r>
      <rPr>
        <b/>
        <sz val="12"/>
        <color theme="1"/>
        <rFont val="Times New Roman"/>
        <family val="1"/>
      </rPr>
      <t>Table of Physical Constants</t>
    </r>
    <r>
      <rPr>
        <sz val="12"/>
        <color theme="1"/>
        <rFont val="Times New Roman"/>
        <family val="1"/>
      </rPr>
      <t xml:space="preserve">
All values are approximations, accurate to the number of significant digits shown.</t>
    </r>
  </si>
  <si>
    <t xml:space="preserve">Unit </t>
  </si>
  <si>
    <t>Value</t>
  </si>
  <si>
    <t>bit</t>
  </si>
  <si>
    <t>1 bit</t>
  </si>
  <si>
    <t>byte</t>
  </si>
  <si>
    <t>8 bits</t>
  </si>
  <si>
    <t>kilobyte</t>
  </si>
  <si>
    <t>1,024 bytes</t>
  </si>
  <si>
    <t>megabyte</t>
  </si>
  <si>
    <t>1,024 kilobytes</t>
  </si>
  <si>
    <t>gigabyte</t>
  </si>
  <si>
    <t>1,024 megabytes</t>
  </si>
  <si>
    <t>terabyte</t>
  </si>
  <si>
    <t>1,024 gigabytes</t>
  </si>
  <si>
    <t>petabyte</t>
  </si>
  <si>
    <t>1,024 terabytes</t>
  </si>
  <si>
    <t>exabyte</t>
  </si>
  <si>
    <t>1,024 petabytes</t>
  </si>
  <si>
    <t>zettabyte</t>
  </si>
  <si>
    <t>1,024 exabytes</t>
  </si>
  <si>
    <t>zottabyte</t>
  </si>
  <si>
    <t>1,024 zettabytes</t>
  </si>
  <si>
    <t>brontobyte</t>
  </si>
  <si>
    <t>1,024 zottabytes</t>
  </si>
  <si>
    <t>Common Data Storage Measurement</t>
  </si>
  <si>
    <r>
      <t>9.8067 meters/sec</t>
    </r>
    <r>
      <rPr>
        <vertAlign val="superscript"/>
        <sz val="12"/>
        <color theme="1"/>
        <rFont val="Times New Roman"/>
        <family val="1"/>
      </rPr>
      <t>2</t>
    </r>
    <r>
      <rPr>
        <sz val="12"/>
        <color theme="1"/>
        <rFont val="Times New Roman"/>
        <family val="1"/>
      </rPr>
      <t xml:space="preserve">
32 feet/sec</t>
    </r>
    <r>
      <rPr>
        <vertAlign val="superscript"/>
        <sz val="12"/>
        <color theme="1"/>
        <rFont val="Times New Roman"/>
        <family val="1"/>
      </rPr>
      <t>2</t>
    </r>
  </si>
  <si>
    <t xml:space="preserve">Prefix </t>
  </si>
  <si>
    <t xml:space="preserve">Symbol(S) </t>
  </si>
  <si>
    <t xml:space="preserve">Decimal </t>
  </si>
  <si>
    <t>yocto-</t>
  </si>
  <si>
    <t>zepto-</t>
  </si>
  <si>
    <t>atto-</t>
  </si>
  <si>
    <t>femto-</t>
  </si>
  <si>
    <t>pico-</t>
  </si>
  <si>
    <t>nano-</t>
  </si>
  <si>
    <t>micro-</t>
  </si>
  <si>
    <t>milli-</t>
  </si>
  <si>
    <t>rn</t>
  </si>
  <si>
    <t>centi-</t>
  </si>
  <si>
    <t>deci-</t>
  </si>
  <si>
    <t>(none)</t>
  </si>
  <si>
    <t>deka-</t>
  </si>
  <si>
    <t>da</t>
  </si>
  <si>
    <t>hecto-</t>
  </si>
  <si>
    <t>kilo-</t>
  </si>
  <si>
    <t>k or K **</t>
  </si>
  <si>
    <t>mega-</t>
  </si>
  <si>
    <t>giga-</t>
  </si>
  <si>
    <t>tera-</t>
  </si>
  <si>
    <t>peta-</t>
  </si>
  <si>
    <t>exa-</t>
  </si>
  <si>
    <t>zetta-</t>
  </si>
  <si>
    <t>yotta-</t>
  </si>
  <si>
    <r>
      <t>** k = 10</t>
    </r>
    <r>
      <rPr>
        <vertAlign val="superscript"/>
        <sz val="12"/>
        <color theme="1"/>
        <rFont val="Times New Roman"/>
        <family val="1"/>
      </rPr>
      <t>3</t>
    </r>
    <r>
      <rPr>
        <sz val="12"/>
        <color theme="1"/>
        <rFont val="Times New Roman"/>
        <family val="1"/>
      </rPr>
      <t xml:space="preserve"> and K = 2</t>
    </r>
    <r>
      <rPr>
        <vertAlign val="superscript"/>
        <sz val="12"/>
        <color theme="1"/>
        <rFont val="Times New Roman"/>
        <family val="1"/>
      </rPr>
      <t>10</t>
    </r>
  </si>
  <si>
    <r>
      <t> 10</t>
    </r>
    <r>
      <rPr>
        <vertAlign val="superscript"/>
        <sz val="12"/>
        <color theme="1"/>
        <rFont val="Times New Roman"/>
        <family val="1"/>
      </rPr>
      <t>-24</t>
    </r>
  </si>
  <si>
    <r>
      <t> 10</t>
    </r>
    <r>
      <rPr>
        <vertAlign val="superscript"/>
        <sz val="12"/>
        <color theme="1"/>
        <rFont val="Times New Roman"/>
        <family val="1"/>
      </rPr>
      <t>-21</t>
    </r>
  </si>
  <si>
    <r>
      <t> 10</t>
    </r>
    <r>
      <rPr>
        <vertAlign val="superscript"/>
        <sz val="12"/>
        <color theme="1"/>
        <rFont val="Times New Roman"/>
        <family val="1"/>
      </rPr>
      <t>-18</t>
    </r>
  </si>
  <si>
    <r>
      <t> 10</t>
    </r>
    <r>
      <rPr>
        <vertAlign val="superscript"/>
        <sz val="12"/>
        <color theme="1"/>
        <rFont val="Times New Roman"/>
        <family val="1"/>
      </rPr>
      <t>-15</t>
    </r>
  </si>
  <si>
    <r>
      <t> 10</t>
    </r>
    <r>
      <rPr>
        <vertAlign val="superscript"/>
        <sz val="12"/>
        <color theme="1"/>
        <rFont val="Times New Roman"/>
        <family val="1"/>
      </rPr>
      <t>-12</t>
    </r>
  </si>
  <si>
    <r>
      <t> 10</t>
    </r>
    <r>
      <rPr>
        <vertAlign val="superscript"/>
        <sz val="12"/>
        <color theme="1"/>
        <rFont val="Times New Roman"/>
        <family val="1"/>
      </rPr>
      <t>-9</t>
    </r>
  </si>
  <si>
    <r>
      <t> 10</t>
    </r>
    <r>
      <rPr>
        <vertAlign val="superscript"/>
        <sz val="12"/>
        <color theme="1"/>
        <rFont val="Times New Roman"/>
        <family val="1"/>
      </rPr>
      <t>-6</t>
    </r>
  </si>
  <si>
    <r>
      <t> 10</t>
    </r>
    <r>
      <rPr>
        <vertAlign val="superscript"/>
        <sz val="12"/>
        <color theme="1"/>
        <rFont val="Times New Roman"/>
        <family val="1"/>
      </rPr>
      <t>-3</t>
    </r>
  </si>
  <si>
    <r>
      <t> 10</t>
    </r>
    <r>
      <rPr>
        <vertAlign val="superscript"/>
        <sz val="12"/>
        <color theme="1"/>
        <rFont val="Times New Roman"/>
        <family val="1"/>
      </rPr>
      <t>-2</t>
    </r>
  </si>
  <si>
    <r>
      <t> 10</t>
    </r>
    <r>
      <rPr>
        <vertAlign val="superscript"/>
        <sz val="12"/>
        <color theme="1"/>
        <rFont val="Times New Roman"/>
        <family val="1"/>
      </rPr>
      <t>-1</t>
    </r>
  </si>
  <si>
    <r>
      <t> 10</t>
    </r>
    <r>
      <rPr>
        <vertAlign val="superscript"/>
        <sz val="12"/>
        <color theme="1"/>
        <rFont val="Times New Roman"/>
        <family val="1"/>
      </rPr>
      <t>0</t>
    </r>
  </si>
  <si>
    <r>
      <t> 2</t>
    </r>
    <r>
      <rPr>
        <vertAlign val="superscript"/>
        <sz val="12"/>
        <color theme="1"/>
        <rFont val="Times New Roman"/>
        <family val="1"/>
      </rPr>
      <t>0</t>
    </r>
  </si>
  <si>
    <r>
      <t> 10</t>
    </r>
    <r>
      <rPr>
        <vertAlign val="superscript"/>
        <sz val="12"/>
        <color theme="1"/>
        <rFont val="Times New Roman"/>
        <family val="1"/>
      </rPr>
      <t>1</t>
    </r>
  </si>
  <si>
    <r>
      <t> 10</t>
    </r>
    <r>
      <rPr>
        <vertAlign val="superscript"/>
        <sz val="12"/>
        <color theme="1"/>
        <rFont val="Times New Roman"/>
        <family val="1"/>
      </rPr>
      <t>2</t>
    </r>
  </si>
  <si>
    <r>
      <t> 10</t>
    </r>
    <r>
      <rPr>
        <vertAlign val="superscript"/>
        <sz val="12"/>
        <color theme="1"/>
        <rFont val="Times New Roman"/>
        <family val="1"/>
      </rPr>
      <t>3</t>
    </r>
  </si>
  <si>
    <r>
      <t> 2</t>
    </r>
    <r>
      <rPr>
        <vertAlign val="superscript"/>
        <sz val="12"/>
        <color theme="1"/>
        <rFont val="Times New Roman"/>
        <family val="1"/>
      </rPr>
      <t>10</t>
    </r>
  </si>
  <si>
    <r>
      <t> 10</t>
    </r>
    <r>
      <rPr>
        <vertAlign val="superscript"/>
        <sz val="12"/>
        <color theme="1"/>
        <rFont val="Times New Roman"/>
        <family val="1"/>
      </rPr>
      <t>6</t>
    </r>
  </si>
  <si>
    <r>
      <t> 2</t>
    </r>
    <r>
      <rPr>
        <vertAlign val="superscript"/>
        <sz val="12"/>
        <color theme="1"/>
        <rFont val="Times New Roman"/>
        <family val="1"/>
      </rPr>
      <t>20</t>
    </r>
  </si>
  <si>
    <r>
      <t> 10</t>
    </r>
    <r>
      <rPr>
        <vertAlign val="superscript"/>
        <sz val="12"/>
        <color theme="1"/>
        <rFont val="Times New Roman"/>
        <family val="1"/>
      </rPr>
      <t>9</t>
    </r>
  </si>
  <si>
    <r>
      <t> 2</t>
    </r>
    <r>
      <rPr>
        <vertAlign val="superscript"/>
        <sz val="12"/>
        <color theme="1"/>
        <rFont val="Times New Roman"/>
        <family val="1"/>
      </rPr>
      <t>30</t>
    </r>
  </si>
  <si>
    <r>
      <t> 10</t>
    </r>
    <r>
      <rPr>
        <vertAlign val="superscript"/>
        <sz val="12"/>
        <color theme="1"/>
        <rFont val="Times New Roman"/>
        <family val="1"/>
      </rPr>
      <t>12</t>
    </r>
  </si>
  <si>
    <r>
      <t> 2</t>
    </r>
    <r>
      <rPr>
        <vertAlign val="superscript"/>
        <sz val="12"/>
        <color theme="1"/>
        <rFont val="Times New Roman"/>
        <family val="1"/>
      </rPr>
      <t>40</t>
    </r>
  </si>
  <si>
    <r>
      <t> 10</t>
    </r>
    <r>
      <rPr>
        <vertAlign val="superscript"/>
        <sz val="12"/>
        <color theme="1"/>
        <rFont val="Times New Roman"/>
        <family val="1"/>
      </rPr>
      <t>15</t>
    </r>
  </si>
  <si>
    <r>
      <t> 2</t>
    </r>
    <r>
      <rPr>
        <vertAlign val="superscript"/>
        <sz val="12"/>
        <color theme="1"/>
        <rFont val="Times New Roman"/>
        <family val="1"/>
      </rPr>
      <t>50</t>
    </r>
  </si>
  <si>
    <r>
      <t> 10</t>
    </r>
    <r>
      <rPr>
        <vertAlign val="superscript"/>
        <sz val="12"/>
        <color theme="1"/>
        <rFont val="Times New Roman"/>
        <family val="1"/>
      </rPr>
      <t>18</t>
    </r>
  </si>
  <si>
    <r>
      <t> 2</t>
    </r>
    <r>
      <rPr>
        <vertAlign val="superscript"/>
        <sz val="12"/>
        <color theme="1"/>
        <rFont val="Times New Roman"/>
        <family val="1"/>
      </rPr>
      <t>60</t>
    </r>
  </si>
  <si>
    <r>
      <t> 10</t>
    </r>
    <r>
      <rPr>
        <vertAlign val="superscript"/>
        <sz val="12"/>
        <color theme="1"/>
        <rFont val="Times New Roman"/>
        <family val="1"/>
      </rPr>
      <t>21</t>
    </r>
  </si>
  <si>
    <r>
      <t> 2</t>
    </r>
    <r>
      <rPr>
        <vertAlign val="superscript"/>
        <sz val="12"/>
        <color theme="1"/>
        <rFont val="Times New Roman"/>
        <family val="1"/>
      </rPr>
      <t>70</t>
    </r>
  </si>
  <si>
    <r>
      <t> 10</t>
    </r>
    <r>
      <rPr>
        <vertAlign val="superscript"/>
        <sz val="12"/>
        <color theme="1"/>
        <rFont val="Times New Roman"/>
        <family val="1"/>
      </rPr>
      <t>24</t>
    </r>
  </si>
  <si>
    <r>
      <t> 2</t>
    </r>
    <r>
      <rPr>
        <vertAlign val="superscript"/>
        <sz val="12"/>
        <color theme="1"/>
        <rFont val="Times New Roman"/>
        <family val="1"/>
      </rPr>
      <t>80</t>
    </r>
  </si>
  <si>
    <t>Full technical name</t>
  </si>
  <si>
    <t>Proposed prefix</t>
  </si>
  <si>
    <t>Proposed symbol</t>
  </si>
  <si>
    <t>Numeric multiplier</t>
  </si>
  <si>
    <t>kilobinary</t>
  </si>
  <si>
    <t>kibi-</t>
  </si>
  <si>
    <t>Ki</t>
  </si>
  <si>
    <t>megabinary</t>
  </si>
  <si>
    <t>mebi-</t>
  </si>
  <si>
    <t>Mi</t>
  </si>
  <si>
    <t>gigabinary</t>
  </si>
  <si>
    <t>gibi-</t>
  </si>
  <si>
    <t>Gi</t>
  </si>
  <si>
    <t>terabinary</t>
  </si>
  <si>
    <t>tebi-</t>
  </si>
  <si>
    <t>Ti</t>
  </si>
  <si>
    <t>petabinary</t>
  </si>
  <si>
    <t>pebi-</t>
  </si>
  <si>
    <t>Pi</t>
  </si>
  <si>
    <t>exabinary</t>
  </si>
  <si>
    <t>exbi-</t>
  </si>
  <si>
    <t>Ei</t>
  </si>
  <si>
    <t>Kibi, mebi, gibi, tebi, pebi, and exbi are binary prefix multipliers that, in 1998, were approved as a standard by the International Electrotechnical Commission (IEC) in an effort to eliminate the confusion that sometimes occurs between decimal (power-of-10) and binary (power-of-2) numeration terms.
In scenarios such as the one mentioned above, if the new binary prefixes are used, it should be easy to know whether an engineer is talking or writing about the decimal or binary multiplier. We will know that one kilobit per second (1 kbps) means 1,000 bps, and one kibibyte (1 KiB) means 1,024 bytes, for example.</t>
  </si>
  <si>
    <t>The power-of-’10 multipliers and the power-of-2 multipliers for a given word prefix are almost, but not quite, the same. For example, the power-of-’10 definition of kilo- (k) refers to 1,000, while the power-of-2 definition (K) refers to 1,024. As if this is not confusing enough, when referring to a data speed of one kilobit per second (1 kbps), analysts generally mean 1,000 bits per second (‘103 bps), but when talking about one kilobyte (1 KB) of data storage, they usually mean 1,024 bytes (2’10 B). This prevailing confusion could be eliminated (some computer scientists believe) by adopting special prefixes referring to the binary quantities.</t>
  </si>
  <si>
    <t>Active server page</t>
  </si>
  <si>
    <t>Internet Security Certificate file</t>
  </si>
  <si>
    <t>Compiled HTML Help file</t>
  </si>
  <si>
    <t>Windows Help contents file</t>
  </si>
  <si>
    <t>Security certificate</t>
  </si>
  <si>
    <t>DER Encoded X509 certificate file</t>
  </si>
  <si>
    <t>Discoverer Query</t>
  </si>
  <si>
    <t>Used to pull data from AIM</t>
  </si>
  <si>
    <t>Internet Naming Service</t>
  </si>
  <si>
    <t>Internet Communication settings</t>
  </si>
  <si>
    <t>Internet Document Set file</t>
  </si>
  <si>
    <t>Media attachment unit</t>
  </si>
  <si>
    <t>Manifest configuration file</t>
  </si>
  <si>
    <t>Microsoft Office profile settings file</t>
  </si>
  <si>
    <t>Open Software Description file</t>
  </si>
  <si>
    <t>Windows Registry</t>
  </si>
  <si>
    <t>Contains a list of registry entries that will be added or removed if you run them. A malicious .REG file could remove important information from your registry, replace it with junk data, or add malicious data.</t>
  </si>
  <si>
    <t>Temporary file or folder</t>
  </si>
  <si>
    <t>XAML browser application</t>
  </si>
  <si>
    <t>7-Zip [Free]</t>
  </si>
  <si>
    <t>file-archive</t>
  </si>
  <si>
    <t>iCalendar format event file</t>
  </si>
  <si>
    <t>event file</t>
  </si>
  <si>
    <t>MS Office Access (2007 or later)</t>
  </si>
  <si>
    <t>Databases</t>
  </si>
  <si>
    <t>Microsoft Access project extension</t>
  </si>
  <si>
    <t>Microsoft Access project</t>
  </si>
  <si>
    <t>Microsoft Access module shortcut</t>
  </si>
  <si>
    <t>Microsoft Access shortcut</t>
  </si>
  <si>
    <t>Microsoft Access diagram shortcut</t>
  </si>
  <si>
    <t>Microsoft Access macro shortcut</t>
  </si>
  <si>
    <t>Microsoft Access query shortcut</t>
  </si>
  <si>
    <t>Microsoft Access report shortcut</t>
  </si>
  <si>
    <t>Microsoft Access stored procedures</t>
  </si>
  <si>
    <t>Microsoft Access table shortcut</t>
  </si>
  <si>
    <t>Microsoft Access view shortcut</t>
  </si>
  <si>
    <t>Microsoft Access data access page</t>
  </si>
  <si>
    <t>Microsoft Access add-in program</t>
  </si>
  <si>
    <t>Microsoft Access program</t>
  </si>
  <si>
    <t>Microsoft Access MDE database file</t>
  </si>
  <si>
    <t>Microsoft Access data file</t>
  </si>
  <si>
    <t>Microsoft Access workgroup</t>
  </si>
  <si>
    <t>Microsoft Access wizard program</t>
  </si>
  <si>
    <t>Macros</t>
  </si>
  <si>
    <t>Microsoft Word</t>
  </si>
  <si>
    <t>Microsoft Word Template</t>
  </si>
  <si>
    <t>Portable Document File</t>
  </si>
  <si>
    <t>Microsoft PowerPoint</t>
  </si>
  <si>
    <t xml:space="preserve">Microsoft PowerPoint </t>
  </si>
  <si>
    <t>Microsoft PowerPoint Template</t>
  </si>
  <si>
    <t>Microsoft Visio workspace file</t>
  </si>
  <si>
    <t>Microsoft Excel Add-In</t>
  </si>
  <si>
    <t>Microsoft Excel Add-In (Macro)</t>
  </si>
  <si>
    <t>Folder - C:\Users\&lt;UserName&gt;\AppData\Roaming\Microsoft\AddIns [named by the Application.UserLibraryPath property]</t>
  </si>
  <si>
    <t>Microsoft Excel</t>
  </si>
  <si>
    <t>Microsoft Excel Template</t>
  </si>
  <si>
    <t>Microsoft Portable Document</t>
  </si>
  <si>
    <t>MS Office OneNote (2007 or later)</t>
  </si>
  <si>
    <t>Adobe Reader Foxit PhantomPDF</t>
  </si>
  <si>
    <t>Data file Table of Contents file</t>
  </si>
  <si>
    <t>Microsoft Word, Office Open XML</t>
  </si>
  <si>
    <t>QuickTime (QT) Compiled Translation Source</t>
  </si>
  <si>
    <t>Microsoft Exchange Non-Delivery Report Body</t>
  </si>
  <si>
    <t>cc:Mail Archive</t>
  </si>
  <si>
    <t>Microsoft Exchange</t>
  </si>
  <si>
    <t>Microsoft Outlook Express Folder Database</t>
  </si>
  <si>
    <t>Dictionary</t>
  </si>
  <si>
    <t>Lotus Notes User ID File</t>
  </si>
  <si>
    <t>LotusScript Source Code</t>
  </si>
  <si>
    <t>Unix Mailbox</t>
  </si>
  <si>
    <t>Microsoft Outlook Express v4 Mailbox</t>
  </si>
  <si>
    <t>Novell GroupWise Saved E-Mail</t>
  </si>
  <si>
    <t>Outlook Message</t>
  </si>
  <si>
    <t>a binary MAPI message [built on COM/structure-storage]; can be indexed and searched with Windows Desktop Search with the add-in for Outlook saved mail indexing, which you can download from the Microsoft Download Center.</t>
  </si>
  <si>
    <t>Lotus Notes Content Source</t>
  </si>
  <si>
    <t>Lotus Notes Design Elements</t>
  </si>
  <si>
    <t>Lotus Notes Data Link</t>
  </si>
  <si>
    <t>Lotus Notes Linked Object</t>
  </si>
  <si>
    <t>Lotus Notes Redirect File</t>
  </si>
  <si>
    <t>Lotus Notes Data</t>
  </si>
  <si>
    <t>Lotus Notes Template</t>
  </si>
  <si>
    <t>Microsoft Internet News Message</t>
  </si>
  <si>
    <t>contains information, such as names, e-mail address, titles, and office locations, from the Global Address List (GAL) on the server that runs Exchange</t>
  </si>
  <si>
    <t>Outlook Template</t>
  </si>
  <si>
    <t>Lotus Notes Database</t>
  </si>
  <si>
    <t>Personal Address Book</t>
  </si>
  <si>
    <t>contact information</t>
  </si>
  <si>
    <t>Outlook profile file</t>
  </si>
  <si>
    <t>Microsoft Restricted Permission Message</t>
  </si>
  <si>
    <t>Outlook Rules</t>
  </si>
  <si>
    <t>Lotus Notes Unknown Attachment File</t>
  </si>
  <si>
    <t>Microsoft Internet Mail Message (MIME) Lotus Notes Message Outlook; Outlook Express</t>
  </si>
  <si>
    <t>MIME Type: message/rfc822 .eml-ecoded email files can be viewed in Internet Explorer since they are formatted the same as .mht files. Changing the file extension from “.eml” to “.mht” should cause the file to open directly in Internet Explorer. .eml files may also be opened within Internet Explorer using the Microsoft Exchange Server Outlook WebAccess client.</t>
  </si>
  <si>
    <t>Application file</t>
  </si>
  <si>
    <t>deployed with technology.</t>
  </si>
  <si>
    <t>Microsoft Visual Basic class module</t>
  </si>
  <si>
    <t>DOS CP/M command file, Microsoft Windows NT command script</t>
  </si>
  <si>
    <t>MS-DOS Program</t>
  </si>
  <si>
    <t>The original type of program used by MS-DOS.</t>
  </si>
  <si>
    <t>Windows Control Panel</t>
  </si>
  <si>
    <t>All of the utilities found in the Control Panel</t>
  </si>
  <si>
    <t>Executable Program File</t>
  </si>
  <si>
    <t>Most of the applications running on Windows are .exe files.</t>
  </si>
  <si>
    <t>Microsoft Visual FoxPro compiled program</t>
  </si>
  <si>
    <t>Windows Desktop Gadget</t>
  </si>
  <si>
    <t>A gadget file for the technology introduced in Windows Vista.</t>
  </si>
  <si>
    <t>Windows program group file</t>
  </si>
  <si>
    <t>Help file</t>
  </si>
  <si>
    <t>Help project file</t>
  </si>
  <si>
    <t>HTML Application</t>
  </si>
  <si>
    <t>Unlike HTML applications run in browsers, .HTA files are run as trusted applications without sandboxing.</t>
  </si>
  <si>
    <t>JAVA Archive</t>
  </si>
  <si>
    <t>Executable Java code. If you have the Java runtime installed, .JAR files will be run as programs.</t>
  </si>
  <si>
    <t>Microsoft Management Console</t>
  </si>
  <si>
    <t>Applications such as the group policy editor and disk management tool are .MSC files.</t>
  </si>
  <si>
    <t>Windows Patch Installer</t>
  </si>
  <si>
    <t>Used to patch applications deployed with .MSI files.</t>
  </si>
  <si>
    <t>MS-DOS Program Information File</t>
  </si>
  <si>
    <t>PIF files aren’t supposed to contain executable code, Windows will treat .PIFs the same as .EXE files if they contain executable code.</t>
  </si>
  <si>
    <t>Developer Studio build log</t>
  </si>
  <si>
    <t>Windows Screen Saver</t>
  </si>
  <si>
    <t>can contain executable code.</t>
  </si>
  <si>
    <t>Visual Basic project file</t>
  </si>
  <si>
    <t>Microsoft Visual Studio .NET binary-based macro project file</t>
  </si>
  <si>
    <t>MS-DOS Batch File</t>
  </si>
  <si>
    <t>Contains a list of commands that will be run on your computer if you open it.</t>
  </si>
  <si>
    <t>Similar to .BAT, but this file extension was introduced in Windows NT.</t>
  </si>
  <si>
    <t>Script file</t>
  </si>
  <si>
    <t>JavaScript</t>
  </si>
  <si>
    <t>Encrypted JavaScript</t>
  </si>
  <si>
    <t>UNIX Shell script file</t>
  </si>
  <si>
    <t>Monad Shell Script</t>
  </si>
  <si>
    <t>Monad was later renamed PowerShell.</t>
  </si>
  <si>
    <t>Microsoft Visual Test compiled script</t>
  </si>
  <si>
    <t>Perl script file</t>
  </si>
  <si>
    <t>Program source file</t>
  </si>
  <si>
    <t>Windows PowerShell</t>
  </si>
  <si>
    <t>Runs PowerShell commands in the order specified in the file.</t>
  </si>
  <si>
    <t>Windows script component</t>
  </si>
  <si>
    <t>Shell Scrap object file</t>
  </si>
  <si>
    <t>VBScript</t>
  </si>
  <si>
    <t>Will execute its included VBScript code if you run it.</t>
  </si>
  <si>
    <t>Encrypted VBScript</t>
  </si>
  <si>
    <t>Similar to a VBScript file, but it’s not easy to tell what the file will actually do if you run it.</t>
  </si>
  <si>
    <t>Windows Script</t>
  </si>
  <si>
    <t>Windows Script Component</t>
  </si>
  <si>
    <t>Used along with Windows Script files.</t>
  </si>
  <si>
    <t>Windows Script Host</t>
  </si>
  <si>
    <t>Information or setup file</t>
  </si>
  <si>
    <t>A text file used by AutoRun. If run, this file could potentially launch dangerous applications it came with or pass dangerous options to programs included with Windows.</t>
  </si>
  <si>
    <t>Windows shortcut</t>
  </si>
  <si>
    <t>A link to a program on your computer. A link file could potentially contain command-line attributes that do dangerous things, such as deleting files without asking.</t>
  </si>
  <si>
    <t>Windows Explorer</t>
  </si>
  <si>
    <t>A command file. Could pass potentially dangerous commands to Windows Explorer.</t>
  </si>
  <si>
    <t>Windows shortcut to a document</t>
  </si>
  <si>
    <t>Uniform Resource Locator (Internet shortcut)</t>
  </si>
  <si>
    <t>Microsoft Exchange public folder shortcut</t>
  </si>
  <si>
    <t xml:space="preserve">.JS files are normally used by webpages and are safe if run in Web browsers. However, Windows will run .JS files outside the browser with no sandboxing. </t>
  </si>
  <si>
    <t>Outlook's Offline Storage Table</t>
  </si>
  <si>
    <t>Outlook Personal Storage Table</t>
  </si>
  <si>
    <t>an archive that contains your e-mail messages, calendars, contacts, tasks, and notes that is stored locally on your computer; allow users to email using POP3 servers and manage personal and business communications, 2 GB file limit  Outlook; C:\Users\mmyers\AppData\Local\Microsoft\Outlook</t>
  </si>
  <si>
    <t>Outlook VBA Module</t>
  </si>
  <si>
    <t>Any code that you create in the Outlook VBA environment is stored in a file named VBAPROJECT.OTM. If you want to move a VBA project to another machine you can copy the VBAPROJECT.OTM file to the other machine but the macros won't run until that machine has actually used one of the Tools|Macro commands. Also, if macro security is set to High (the default), unsigned projects will not run at all. Use the SELFCERT.EXE program on the Office CD to generate a local security certificate for signing the project to get around this.Program ID: OTMFile [folder: \Roaming\Microsoft\Outlook]</t>
  </si>
  <si>
    <t>Outlook Address Book</t>
  </si>
  <si>
    <t>BOTH</t>
  </si>
  <si>
    <t>File Transfer Protocol (FTP)</t>
  </si>
  <si>
    <t>data transfer</t>
  </si>
  <si>
    <t>BOTH &amp; SCTP</t>
  </si>
  <si>
    <t>control (command)</t>
  </si>
  <si>
    <t>Secure Shell (SSH),</t>
  </si>
  <si>
    <t>secure logins, file transfers (scp, sftp) and port forwarding</t>
  </si>
  <si>
    <t>Telnet protocol</t>
  </si>
  <si>
    <t>unencrypted text communications</t>
  </si>
  <si>
    <t>Simple Mail Transfer Protocol (SMTP)</t>
  </si>
  <si>
    <t>used for email routing between mail servers</t>
  </si>
  <si>
    <t>Time Protocol</t>
  </si>
  <si>
    <t>TCP</t>
  </si>
  <si>
    <t>HTTP (Web Servers)</t>
  </si>
  <si>
    <t>Post Office Protocol, Ver. 3 (POP3)[</t>
  </si>
  <si>
    <t>Network News Transfer Protocol (NNTP)</t>
  </si>
  <si>
    <t>retrieval of newsgroup messages</t>
  </si>
  <si>
    <t>Network Time Protocol (NTP)</t>
  </si>
  <si>
    <t>used for time synchronization</t>
  </si>
  <si>
    <t>Internet Message Access Protocol (IMAP)</t>
  </si>
  <si>
    <t>management of electronic mail messages on a server</t>
  </si>
  <si>
    <t>HTTPS (Web Servers)</t>
  </si>
  <si>
    <t>Minecraft</t>
  </si>
  <si>
    <t>Plex Media Server</t>
  </si>
  <si>
    <t>Service or Protocol</t>
  </si>
  <si>
    <t>All links are to wikipedia</t>
  </si>
  <si>
    <t>https://en.wikipedia.org/wiki/List_of_TCP_and_UDP_port_numbers</t>
  </si>
  <si>
    <t>cpp</t>
  </si>
  <si>
    <t>C++ Script</t>
  </si>
  <si>
    <t>programming</t>
  </si>
  <si>
    <t>css</t>
  </si>
  <si>
    <t>Cascade Style Sheet</t>
  </si>
  <si>
    <t>Header</t>
  </si>
  <si>
    <t>programming, include file</t>
  </si>
  <si>
    <t>jar</t>
  </si>
  <si>
    <t>msb</t>
  </si>
  <si>
    <t>Oracle (11)</t>
  </si>
  <si>
    <t>binary error message file</t>
  </si>
  <si>
    <t>msg</t>
  </si>
  <si>
    <t>error message file</t>
  </si>
  <si>
    <t>xss</t>
  </si>
  <si>
    <t>XML Style Sheet</t>
  </si>
  <si>
    <t>auto</t>
  </si>
  <si>
    <t>a-z</t>
  </si>
  <si>
    <t>0-9</t>
  </si>
  <si>
    <t>recover</t>
  </si>
  <si>
    <t>Occasionally files will become corrupted due to program faults, system faults, network faults, etc. In certain cases, intermediate files are created. Sometimes FrameMaker will detect the problem, create a ".recover" file, and offer it when trying to open the file. Other times the program will not. If an error occurs the uncorrupted file may or may not exist with one of these file extensions.</t>
  </si>
  <si>
    <t>cc</t>
  </si>
  <si>
    <t>c960</t>
  </si>
  <si>
    <t>CalComp 960</t>
  </si>
  <si>
    <t>cgm</t>
  </si>
  <si>
    <t>Computer Graphic Metafile</t>
  </si>
  <si>
    <t>dca</t>
  </si>
  <si>
    <t>IBM Document Content Architecture Revisable-Form-Text (DCA) 1.0 and 1.1</t>
  </si>
  <si>
    <t>Most word processors will create this file type. It will retain fonts and text. Table structures and graphics are not converted.</t>
  </si>
  <si>
    <t>doc</t>
  </si>
  <si>
    <t>dxf</t>
  </si>
  <si>
    <t>Autocad DXF graphics</t>
  </si>
  <si>
    <t>eps</t>
  </si>
  <si>
    <t>epsi</t>
  </si>
  <si>
    <t>Encapsulated Postscript</t>
  </si>
  <si>
    <t>hpgl</t>
  </si>
  <si>
    <t>HPGL graphics</t>
  </si>
  <si>
    <t>iaf</t>
  </si>
  <si>
    <t>Interleaf ASCII Format (IAF) release 6.4 (TPS 4.1)</t>
  </si>
  <si>
    <t>Interleaf Desktop Publisher format</t>
  </si>
  <si>
    <t>iges</t>
  </si>
  <si>
    <t>igs</t>
  </si>
  <si>
    <t>IGES</t>
  </si>
  <si>
    <t>Initial Graphics Exchange Specification Class I or Class II</t>
  </si>
  <si>
    <t>mif</t>
  </si>
  <si>
    <t>Maker Interchange Format</t>
  </si>
  <si>
    <t>msw</t>
  </si>
  <si>
    <t>Microsoft Word for Windows (versions1.0 and 2.0)</t>
  </si>
  <si>
    <t>Contains some graphics support</t>
  </si>
  <si>
    <t>oab</t>
  </si>
  <si>
    <t>Outlook Offine Address Book</t>
  </si>
  <si>
    <t>otm</t>
  </si>
  <si>
    <t>pct</t>
  </si>
  <si>
    <t>Macintosh PICT graphics</t>
  </si>
  <si>
    <t>pcx</t>
  </si>
  <si>
    <t>PCX raster graphics</t>
  </si>
  <si>
    <t>plt</t>
  </si>
  <si>
    <t>ps</t>
  </si>
  <si>
    <t>Postscript Print File</t>
  </si>
  <si>
    <t>A postscript print file may be pasted into a text flow as text and it will display as postscript gibberish. It will print correctly. Not usable for viewable documents.</t>
  </si>
  <si>
    <t>rf</t>
  </si>
  <si>
    <t>Sun Raster Graphics</t>
  </si>
  <si>
    <t>backup</t>
  </si>
  <si>
    <t>tif</t>
  </si>
  <si>
    <t>TIFF</t>
  </si>
  <si>
    <t>The following formats are supported: uncompressed, LZW, CCITT G3, CCITT-G4 (also known as T.6), CMYK, and PackBits (MacPaint) compression.</t>
  </si>
  <si>
    <t>txt</t>
  </si>
  <si>
    <t>ASCII text</t>
  </si>
  <si>
    <t>w3</t>
  </si>
  <si>
    <t>w4</t>
  </si>
  <si>
    <t>Contains some graphics support.</t>
  </si>
  <si>
    <t>wp</t>
  </si>
  <si>
    <t>wpf</t>
  </si>
  <si>
    <t>Word Perfect 5.0 or 5.1</t>
  </si>
  <si>
    <t>lck</t>
  </si>
  <si>
    <t>Exists while a file is being edited to let other sessions of FrameMaker know the document is being edited.</t>
  </si>
  <si>
    <t>xwd</t>
  </si>
  <si>
    <t>Xwindow graphics file</t>
  </si>
  <si>
    <t>This type is created and used by the screen capture feature of FrameMaker</t>
  </si>
  <si>
    <t>a text-based format with tagged labels similar to an SGML format</t>
  </si>
  <si>
    <t>FrameMaker document</t>
  </si>
  <si>
    <t>FrameMaker error files</t>
  </si>
  <si>
    <t>FrameMaker Timed Backup</t>
  </si>
  <si>
    <t>FrameMaker AutoMatic Backup</t>
  </si>
  <si>
    <t>Microsoft Word for the Macintosh (versions 3.0)</t>
  </si>
  <si>
    <t>FrameMaker IGES</t>
  </si>
  <si>
    <t>Microsoft Word for the Macintosh (versions 4.0, and 5.0)</t>
  </si>
  <si>
    <t>FrameMaker File lock</t>
  </si>
  <si>
    <t>7</t>
  </si>
  <si>
    <t>accdb</t>
  </si>
  <si>
    <t>acl</t>
  </si>
  <si>
    <t>ade</t>
  </si>
  <si>
    <t>adp</t>
  </si>
  <si>
    <t>app, application</t>
  </si>
  <si>
    <t>asp</t>
  </si>
  <si>
    <t>bak</t>
  </si>
  <si>
    <t>bas</t>
  </si>
  <si>
    <t>bat</t>
  </si>
  <si>
    <t>bdr</t>
  </si>
  <si>
    <t>cca</t>
  </si>
  <si>
    <t>cer</t>
  </si>
  <si>
    <t>chm</t>
  </si>
  <si>
    <t>cmd</t>
  </si>
  <si>
    <t>cnt</t>
  </si>
  <si>
    <t>com</t>
  </si>
  <si>
    <t>cpl</t>
  </si>
  <si>
    <t>crt</t>
  </si>
  <si>
    <t>csh</t>
  </si>
  <si>
    <t>csr</t>
  </si>
  <si>
    <t>csv</t>
  </si>
  <si>
    <t>dat</t>
  </si>
  <si>
    <t>dbx</t>
  </si>
  <si>
    <t>der</t>
  </si>
  <si>
    <t>dic</t>
  </si>
  <si>
    <t>dis</t>
  </si>
  <si>
    <t>docm</t>
  </si>
  <si>
    <t>docx</t>
  </si>
  <si>
    <t>dotm</t>
  </si>
  <si>
    <t>eml</t>
  </si>
  <si>
    <t>emz</t>
  </si>
  <si>
    <t>exe</t>
  </si>
  <si>
    <t>fxp</t>
  </si>
  <si>
    <t>gadget</t>
  </si>
  <si>
    <t>grp</t>
  </si>
  <si>
    <t>hlp</t>
  </si>
  <si>
    <t>hol</t>
  </si>
  <si>
    <t>hpj</t>
  </si>
  <si>
    <t>hta</t>
  </si>
  <si>
    <t>ical</t>
  </si>
  <si>
    <t>ics</t>
  </si>
  <si>
    <t>id</t>
  </si>
  <si>
    <t>inf</t>
  </si>
  <si>
    <t>info</t>
  </si>
  <si>
    <t>ins</t>
  </si>
  <si>
    <t>isp</t>
  </si>
  <si>
    <t>its</t>
  </si>
  <si>
    <t>ivr</t>
  </si>
  <si>
    <t>js</t>
  </si>
  <si>
    <t>jse</t>
  </si>
  <si>
    <t>json</t>
  </si>
  <si>
    <t>key</t>
  </si>
  <si>
    <t>ksh</t>
  </si>
  <si>
    <t>lex</t>
  </si>
  <si>
    <t>lnk</t>
  </si>
  <si>
    <t>lss</t>
  </si>
  <si>
    <t>mad</t>
  </si>
  <si>
    <t>maf</t>
  </si>
  <si>
    <t>mag</t>
  </si>
  <si>
    <t>mam</t>
  </si>
  <si>
    <t>maq</t>
  </si>
  <si>
    <t>mar</t>
  </si>
  <si>
    <t>mas</t>
  </si>
  <si>
    <t>mat</t>
  </si>
  <si>
    <t>mau</t>
  </si>
  <si>
    <t>mav</t>
  </si>
  <si>
    <t>maw</t>
  </si>
  <si>
    <t>mbox</t>
  </si>
  <si>
    <t>mbx</t>
  </si>
  <si>
    <t>mcf</t>
  </si>
  <si>
    <t>mda</t>
  </si>
  <si>
    <t>mdb</t>
  </si>
  <si>
    <t>mde</t>
  </si>
  <si>
    <t>mdt</t>
  </si>
  <si>
    <t>mdw</t>
  </si>
  <si>
    <t>mdz</t>
  </si>
  <si>
    <t>mlm</t>
  </si>
  <si>
    <t>moc</t>
  </si>
  <si>
    <t>mov</t>
  </si>
  <si>
    <t>msc</t>
  </si>
  <si>
    <t>msh, msh1, msh2, mshxml, msh1xml, msh2xml</t>
  </si>
  <si>
    <t>msi</t>
  </si>
  <si>
    <t>msm</t>
  </si>
  <si>
    <t>msp</t>
  </si>
  <si>
    <t>mst</t>
  </si>
  <si>
    <t>msu</t>
  </si>
  <si>
    <t>mte</t>
  </si>
  <si>
    <t>ncs</t>
  </si>
  <si>
    <t>ndk</t>
  </si>
  <si>
    <t>ndl</t>
  </si>
  <si>
    <t>nk2</t>
  </si>
  <si>
    <t>nlo</t>
  </si>
  <si>
    <t>nrf</t>
  </si>
  <si>
    <t>nsf</t>
  </si>
  <si>
    <t>ntf</t>
  </si>
  <si>
    <t>nws</t>
  </si>
  <si>
    <t>obi</t>
  </si>
  <si>
    <t>odf</t>
  </si>
  <si>
    <t>odt</t>
  </si>
  <si>
    <t>oft</t>
  </si>
  <si>
    <t>olk</t>
  </si>
  <si>
    <t>ond</t>
  </si>
  <si>
    <t>one onetoc2</t>
  </si>
  <si>
    <t>ops</t>
  </si>
  <si>
    <t>osd</t>
  </si>
  <si>
    <t>ost</t>
  </si>
  <si>
    <t>otf</t>
  </si>
  <si>
    <t>p or pickle</t>
  </si>
  <si>
    <t>pab</t>
  </si>
  <si>
    <t>pbk</t>
  </si>
  <si>
    <t>pcd</t>
  </si>
  <si>
    <t>pcp</t>
  </si>
  <si>
    <t>pdf</t>
  </si>
  <si>
    <t>pem</t>
  </si>
  <si>
    <t>pif</t>
  </si>
  <si>
    <t>pip</t>
  </si>
  <si>
    <t>pl</t>
  </si>
  <si>
    <t>plg</t>
  </si>
  <si>
    <t>potm</t>
  </si>
  <si>
    <t>ppam</t>
  </si>
  <si>
    <t>ppsm</t>
  </si>
  <si>
    <t>ppt</t>
  </si>
  <si>
    <t>pptm</t>
  </si>
  <si>
    <t>pptx</t>
  </si>
  <si>
    <t>prf</t>
  </si>
  <si>
    <t>prg</t>
  </si>
  <si>
    <t>ps1, ps1xml, ps2, ps2xml, psc1, psc2</t>
  </si>
  <si>
    <t>pst</t>
  </si>
  <si>
    <t>pxd</t>
  </si>
  <si>
    <t>py</t>
  </si>
  <si>
    <t>py[cod]</t>
  </si>
  <si>
    <t>py3</t>
  </si>
  <si>
    <t>pyc</t>
  </si>
  <si>
    <t>pyd</t>
  </si>
  <si>
    <t>pyo</t>
  </si>
  <si>
    <t>pyw</t>
  </si>
  <si>
    <t>pyx</t>
  </si>
  <si>
    <t>qat</t>
  </si>
  <si>
    <t>qch</t>
  </si>
  <si>
    <t>qhc</t>
  </si>
  <si>
    <t>qhcp</t>
  </si>
  <si>
    <t>qhp</t>
  </si>
  <si>
    <t>qm</t>
  </si>
  <si>
    <t>qrc</t>
  </si>
  <si>
    <t>qss</t>
  </si>
  <si>
    <t>qt</t>
  </si>
  <si>
    <t>qtc</t>
  </si>
  <si>
    <t>ram</t>
  </si>
  <si>
    <t>rc</t>
  </si>
  <si>
    <t>reg</t>
  </si>
  <si>
    <t>rmm</t>
  </si>
  <si>
    <t>rpmsg</t>
  </si>
  <si>
    <t>rtf</t>
  </si>
  <si>
    <t>rwz</t>
  </si>
  <si>
    <t>scf</t>
  </si>
  <si>
    <t>scr</t>
  </si>
  <si>
    <t>sct</t>
  </si>
  <si>
    <t>settings</t>
  </si>
  <si>
    <t>sh</t>
  </si>
  <si>
    <t>shb</t>
  </si>
  <si>
    <t>shs</t>
  </si>
  <si>
    <t>sldm</t>
  </si>
  <si>
    <t>sql</t>
  </si>
  <si>
    <t>swf</t>
  </si>
  <si>
    <t>tmp</t>
  </si>
  <si>
    <t>ttf</t>
  </si>
  <si>
    <t>tv</t>
  </si>
  <si>
    <t>ui</t>
  </si>
  <si>
    <t>unk</t>
  </si>
  <si>
    <t>url</t>
  </si>
  <si>
    <t>vb, vbs</t>
  </si>
  <si>
    <t>vbe</t>
  </si>
  <si>
    <t>vbp</t>
  </si>
  <si>
    <t>vsd</t>
  </si>
  <si>
    <t>vsmacros</t>
  </si>
  <si>
    <t>vsw</t>
  </si>
  <si>
    <t>wixlib</t>
  </si>
  <si>
    <t>wixmsp</t>
  </si>
  <si>
    <t>wixmst</t>
  </si>
  <si>
    <t>wixobj</t>
  </si>
  <si>
    <t>wixout</t>
  </si>
  <si>
    <t>wixpdb</t>
  </si>
  <si>
    <t>wma</t>
  </si>
  <si>
    <t>wmv</t>
  </si>
  <si>
    <t>ws, wsf</t>
  </si>
  <si>
    <t>wsc</t>
  </si>
  <si>
    <t>wsh</t>
  </si>
  <si>
    <t>wxi</t>
  </si>
  <si>
    <t>wxl</t>
  </si>
  <si>
    <t>wxs</t>
  </si>
  <si>
    <t>xbap</t>
  </si>
  <si>
    <t>xla</t>
  </si>
  <si>
    <t>xlam</t>
  </si>
  <si>
    <t>xls</t>
  </si>
  <si>
    <t>xlsm</t>
  </si>
  <si>
    <t>xlsx</t>
  </si>
  <si>
    <t>xltm</t>
  </si>
  <si>
    <t>xltx</t>
  </si>
  <si>
    <t>xnk</t>
  </si>
  <si>
    <t>xps</t>
  </si>
  <si>
    <t>aac</t>
  </si>
  <si>
    <t>Advanced Audio Coding</t>
  </si>
  <si>
    <t>alac</t>
  </si>
  <si>
    <t>Apple Lossless Audio Codec</t>
  </si>
  <si>
    <t>aif / aifc / aiff</t>
  </si>
  <si>
    <t>Audio Interchange File Format</t>
  </si>
  <si>
    <t>dsf</t>
  </si>
  <si>
    <t>Direct Stream Digital Audio</t>
  </si>
  <si>
    <t>flac</t>
  </si>
  <si>
    <t>Free Lossless Audio Codec</t>
  </si>
  <si>
    <t>ape</t>
  </si>
  <si>
    <t>Monkey's Audio</t>
  </si>
  <si>
    <t>mp3</t>
  </si>
  <si>
    <t>Mpeg Layer 3</t>
  </si>
  <si>
    <t>mp4 / m4a / m4b / m4v / iTunes</t>
  </si>
  <si>
    <t>MPEG-4</t>
  </si>
  <si>
    <t>mpc</t>
  </si>
  <si>
    <t>Musepack</t>
  </si>
  <si>
    <t>ogg</t>
  </si>
  <si>
    <t>Ogg Vorbis</t>
  </si>
  <si>
    <t>opus</t>
  </si>
  <si>
    <t>IETF Opus</t>
  </si>
  <si>
    <t>ofr / ofs</t>
  </si>
  <si>
    <t>OptimFROG</t>
  </si>
  <si>
    <t>spx</t>
  </si>
  <si>
    <t>Speex</t>
  </si>
  <si>
    <t>tak</t>
  </si>
  <si>
    <t>Tom's Audio Kompressor</t>
  </si>
  <si>
    <t>tta</t>
  </si>
  <si>
    <t>True Audio</t>
  </si>
  <si>
    <t>wv</t>
  </si>
  <si>
    <t>WavPack</t>
  </si>
  <si>
    <t>wav</t>
  </si>
  <si>
    <t>WAV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</si>
</sst>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Yes&quot;;&quot;Yes&quot;;&quot;No&quot;"/>
  </numFmts>
  <fonts count="28" x14ac:knownFonts="1">
    <font>
      <sz val="11"/>
      <color theme="1"/>
      <name val="Calibri"/>
      <family val="2"/>
      <scheme val="minor"/>
    </font>
    <font>
      <sz val="12"/>
      <color theme="1"/>
      <name val="Times New Roman"/>
      <family val="2"/>
    </font>
    <font>
      <b/>
      <sz val="12"/>
      <color theme="1"/>
      <name val="Times New Roman"/>
      <family val="1"/>
    </font>
    <font>
      <sz val="12"/>
      <color theme="1"/>
      <name val="Times New Roman"/>
      <family val="1"/>
    </font>
    <font>
      <sz val="11"/>
      <color theme="1"/>
      <name val="Times New Roman"/>
      <family val="1"/>
    </font>
    <font>
      <sz val="11"/>
      <color theme="1"/>
      <name val="Calibri"/>
      <family val="2"/>
    </font>
    <font>
      <sz val="24"/>
      <color theme="1"/>
      <name val="Arial Unicode MS"/>
      <family val="2"/>
    </font>
    <font>
      <vertAlign val="superscript"/>
      <sz val="12"/>
      <color theme="1"/>
      <name val="Times New Roman"/>
      <family val="1"/>
    </font>
    <font>
      <u/>
      <sz val="10"/>
      <color theme="10"/>
      <name val="Arial"/>
      <family val="2"/>
    </font>
    <font>
      <u/>
      <sz val="11"/>
      <color theme="10"/>
      <name val="Calibri"/>
      <family val="2"/>
    </font>
    <font>
      <sz val="10"/>
      <name val="Arial"/>
      <family val="2"/>
    </font>
    <font>
      <sz val="10"/>
      <color indexed="8"/>
      <name val="MS Sans Serif"/>
      <family val="2"/>
    </font>
    <font>
      <sz val="10"/>
      <color theme="1"/>
      <name val="Arial"/>
      <family val="2"/>
    </font>
    <font>
      <sz val="10"/>
      <name val="Helv"/>
    </font>
    <font>
      <sz val="11"/>
      <color theme="1"/>
      <name val="Times New Roman"/>
      <family val="2"/>
    </font>
    <font>
      <sz val="12"/>
      <name val="Times New Roman"/>
      <family val="1"/>
    </font>
    <font>
      <b/>
      <sz val="12"/>
      <name val="Times New Roman"/>
      <family val="1"/>
    </font>
    <font>
      <b/>
      <sz val="14"/>
      <color theme="1"/>
      <name val="Times New Roman"/>
      <family val="1"/>
    </font>
    <font>
      <sz val="12"/>
      <color theme="1"/>
      <name val="Wingdings 3"/>
      <family val="1"/>
      <charset val="2"/>
    </font>
    <font>
      <sz val="12"/>
      <color theme="1"/>
      <name val="Wingdings 2"/>
      <family val="1"/>
      <charset val="2"/>
    </font>
    <font>
      <sz val="12"/>
      <color theme="1"/>
      <name val="Wingdings"/>
      <charset val="2"/>
    </font>
    <font>
      <b/>
      <sz val="12"/>
      <color rgb="FF000000"/>
      <name val="Times New Roman"/>
      <family val="1"/>
    </font>
    <font>
      <sz val="12"/>
      <color rgb="FF000000"/>
      <name val="Times New Roman"/>
      <family val="1"/>
    </font>
    <font>
      <i/>
      <sz val="12"/>
      <name val="Times New Roman"/>
      <family val="1"/>
    </font>
    <font>
      <u/>
      <sz val="11"/>
      <color theme="10"/>
      <name val="Calibri"/>
      <family val="2"/>
      <scheme val="minor"/>
    </font>
    <font>
      <u/>
      <sz val="12"/>
      <color theme="10"/>
      <name val="Times New Roman"/>
      <family val="1"/>
    </font>
    <font>
      <i/>
      <sz val="12"/>
      <color theme="1"/>
      <name val="Times New Roman"/>
      <family val="1"/>
    </font>
    <font>
      <vertAlign val="subscript"/>
      <sz val="12"/>
      <color theme="1"/>
      <name val="Times New Roman"/>
      <family val="1"/>
    </font>
  </fonts>
  <fills count="15">
    <fill>
      <patternFill patternType="none"/>
    </fill>
    <fill>
      <patternFill patternType="gray125"/>
    </fill>
    <fill>
      <patternFill patternType="solid">
        <fgColor rgb="FFADD8E6"/>
        <bgColor indexed="64"/>
      </patternFill>
    </fill>
    <fill>
      <patternFill patternType="solid">
        <fgColor rgb="FFCCFFFF"/>
        <bgColor indexed="64"/>
      </patternFill>
    </fill>
    <fill>
      <patternFill patternType="solid">
        <fgColor rgb="FFFFFFFF"/>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CE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rgb="FFDBE5F1"/>
        <bgColor indexed="64"/>
      </patternFill>
    </fill>
  </fills>
  <borders count="78">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indexed="64"/>
      </right>
      <top style="thin">
        <color auto="1"/>
      </top>
      <bottom/>
      <diagonal/>
    </border>
  </borders>
  <cellStyleXfs count="15">
    <xf numFmtId="0" fontId="0" fillId="0" borderId="0"/>
    <xf numFmtId="0" fontId="1" fillId="0" borderId="0"/>
    <xf numFmtId="0" fontId="8" fillId="0" borderId="0" applyNumberFormat="0" applyFill="0" applyBorder="0" applyAlignment="0" applyProtection="0"/>
    <xf numFmtId="0" fontId="9" fillId="0" borderId="0" applyNumberFormat="0" applyFill="0" applyBorder="0" applyAlignment="0" applyProtection="0">
      <alignment vertical="top"/>
      <protection locked="0"/>
    </xf>
    <xf numFmtId="0" fontId="10" fillId="0" borderId="0"/>
    <xf numFmtId="0" fontId="1" fillId="0" borderId="0"/>
    <xf numFmtId="0" fontId="11" fillId="0" borderId="0"/>
    <xf numFmtId="0" fontId="10" fillId="0" borderId="0"/>
    <xf numFmtId="0" fontId="12" fillId="0" borderId="0"/>
    <xf numFmtId="0" fontId="13" fillId="0" borderId="0"/>
    <xf numFmtId="0" fontId="14" fillId="0" borderId="0"/>
    <xf numFmtId="0" fontId="15" fillId="0" borderId="0"/>
    <xf numFmtId="0" fontId="15" fillId="0" borderId="0"/>
    <xf numFmtId="0" fontId="11" fillId="0" borderId="0"/>
    <xf numFmtId="0" fontId="24" fillId="0" borderId="0" applyNumberFormat="0" applyFill="0" applyBorder="0" applyAlignment="0" applyProtection="0"/>
  </cellStyleXfs>
  <cellXfs count="363">
    <xf numFmtId="0" fontId="0" fillId="0" borderId="0" xfId="0"/>
    <xf numFmtId="0" fontId="1" fillId="0" borderId="0" xfId="1"/>
    <xf numFmtId="0" fontId="1" fillId="0" borderId="0" xfId="1" applyAlignment="1">
      <alignment vertical="top"/>
    </xf>
    <xf numFmtId="0" fontId="1" fillId="0" borderId="0" xfId="1" applyFont="1"/>
    <xf numFmtId="0" fontId="2" fillId="0" borderId="1" xfId="1" applyFont="1" applyFill="1" applyBorder="1" applyAlignment="1">
      <alignment vertical="top" wrapText="1"/>
    </xf>
    <xf numFmtId="0" fontId="3" fillId="0" borderId="2" xfId="1" applyFont="1" applyBorder="1" applyAlignment="1">
      <alignment vertical="top" wrapText="1"/>
    </xf>
    <xf numFmtId="0" fontId="4" fillId="0" borderId="2" xfId="1" applyFont="1" applyBorder="1" applyAlignment="1">
      <alignment horizontal="center" vertical="top" wrapText="1"/>
    </xf>
    <xf numFmtId="0" fontId="5" fillId="0" borderId="2" xfId="1" applyFont="1" applyBorder="1" applyAlignment="1">
      <alignment horizontal="center" vertical="top" wrapText="1"/>
    </xf>
    <xf numFmtId="0" fontId="1" fillId="0" borderId="2" xfId="1" applyBorder="1" applyAlignment="1">
      <alignment horizontal="center" vertical="top" wrapText="1"/>
    </xf>
    <xf numFmtId="0" fontId="6" fillId="0" borderId="2" xfId="1" applyFont="1" applyBorder="1" applyAlignment="1">
      <alignment horizontal="center" vertical="top" wrapText="1"/>
    </xf>
    <xf numFmtId="0" fontId="3" fillId="2" borderId="2" xfId="1" applyFont="1" applyFill="1" applyBorder="1" applyAlignment="1">
      <alignment horizontal="center" vertical="top" wrapText="1"/>
    </xf>
    <xf numFmtId="0" fontId="3" fillId="3" borderId="2" xfId="1" applyFont="1" applyFill="1" applyBorder="1" applyAlignment="1">
      <alignment horizontal="center" vertical="top" wrapText="1"/>
    </xf>
    <xf numFmtId="0" fontId="1" fillId="0" borderId="2" xfId="1" applyBorder="1" applyAlignment="1">
      <alignment vertical="top" wrapText="1"/>
    </xf>
    <xf numFmtId="0" fontId="3" fillId="4" borderId="2" xfId="1" applyFont="1" applyFill="1" applyBorder="1" applyAlignment="1">
      <alignment horizontal="center" vertical="top" wrapText="1"/>
    </xf>
    <xf numFmtId="0" fontId="1" fillId="0" borderId="3" xfId="1" applyBorder="1" applyAlignment="1">
      <alignment vertical="top" wrapText="1"/>
    </xf>
    <xf numFmtId="0" fontId="1" fillId="0" borderId="3" xfId="1" applyBorder="1" applyAlignment="1">
      <alignment horizontal="center" vertical="top" wrapText="1"/>
    </xf>
    <xf numFmtId="0" fontId="6" fillId="0" borderId="3" xfId="1" applyFont="1" applyBorder="1" applyAlignment="1">
      <alignment horizontal="center" vertical="top" wrapText="1"/>
    </xf>
    <xf numFmtId="0" fontId="3" fillId="2" borderId="3" xfId="1" applyFont="1" applyFill="1" applyBorder="1" applyAlignment="1">
      <alignment horizontal="center" vertical="top" wrapText="1"/>
    </xf>
    <xf numFmtId="0" fontId="3" fillId="3" borderId="3" xfId="1" applyFont="1" applyFill="1" applyBorder="1" applyAlignment="1">
      <alignment horizontal="center" vertical="top" wrapText="1"/>
    </xf>
    <xf numFmtId="0" fontId="3" fillId="0" borderId="3" xfId="1" applyFont="1" applyBorder="1" applyAlignment="1">
      <alignment vertical="top" wrapText="1"/>
    </xf>
    <xf numFmtId="0" fontId="2" fillId="5" borderId="5" xfId="1" applyFont="1" applyFill="1" applyBorder="1" applyAlignment="1">
      <alignment horizontal="center" vertical="top" wrapText="1"/>
    </xf>
    <xf numFmtId="0" fontId="3" fillId="0" borderId="0" xfId="0" applyFont="1"/>
    <xf numFmtId="0" fontId="3" fillId="0" borderId="11" xfId="0" applyFont="1" applyBorder="1" applyAlignment="1">
      <alignment horizontal="center"/>
    </xf>
    <xf numFmtId="0" fontId="3" fillId="0" borderId="12" xfId="0" applyFont="1" applyBorder="1" applyAlignment="1">
      <alignment horizontal="center"/>
    </xf>
    <xf numFmtId="0" fontId="3" fillId="6" borderId="4" xfId="0" applyFont="1" applyFill="1" applyBorder="1" applyAlignment="1">
      <alignment horizontal="center"/>
    </xf>
    <xf numFmtId="0" fontId="3" fillId="6" borderId="5" xfId="0" applyFont="1" applyFill="1" applyBorder="1" applyAlignment="1">
      <alignment horizontal="center"/>
    </xf>
    <xf numFmtId="0" fontId="3" fillId="6" borderId="6" xfId="0" applyFont="1" applyFill="1" applyBorder="1" applyAlignment="1">
      <alignment horizontal="center"/>
    </xf>
    <xf numFmtId="0" fontId="3" fillId="0" borderId="13" xfId="0" applyFont="1" applyBorder="1" applyAlignment="1">
      <alignment horizontal="center"/>
    </xf>
    <xf numFmtId="0" fontId="3" fillId="6" borderId="14" xfId="0" applyFont="1" applyFill="1" applyBorder="1" applyAlignment="1">
      <alignment horizontal="center"/>
    </xf>
    <xf numFmtId="0" fontId="3" fillId="6" borderId="2" xfId="0" applyFont="1" applyFill="1" applyBorder="1" applyAlignment="1">
      <alignment horizontal="center"/>
    </xf>
    <xf numFmtId="0" fontId="3" fillId="6" borderId="15" xfId="0" applyFont="1" applyFill="1" applyBorder="1" applyAlignment="1">
      <alignment horizontal="center"/>
    </xf>
    <xf numFmtId="1" fontId="3" fillId="0" borderId="4" xfId="0" applyNumberFormat="1" applyFont="1" applyBorder="1"/>
    <xf numFmtId="1" fontId="3" fillId="0" borderId="5" xfId="0" applyNumberFormat="1" applyFont="1" applyBorder="1"/>
    <xf numFmtId="1" fontId="3" fillId="0" borderId="6" xfId="0" applyNumberFormat="1" applyFont="1" applyBorder="1"/>
    <xf numFmtId="0" fontId="3" fillId="7" borderId="12" xfId="0" applyFont="1" applyFill="1" applyBorder="1" applyAlignment="1">
      <alignment horizontal="center"/>
    </xf>
    <xf numFmtId="1" fontId="3" fillId="0" borderId="14" xfId="0" applyNumberFormat="1" applyFont="1" applyBorder="1"/>
    <xf numFmtId="1" fontId="3" fillId="0" borderId="2" xfId="0" applyNumberFormat="1" applyFont="1" applyBorder="1"/>
    <xf numFmtId="1" fontId="3" fillId="0" borderId="15" xfId="0" applyNumberFormat="1" applyFont="1" applyBorder="1"/>
    <xf numFmtId="0" fontId="3" fillId="7" borderId="13" xfId="0" applyFont="1" applyFill="1" applyBorder="1" applyAlignment="1">
      <alignment horizontal="center"/>
    </xf>
    <xf numFmtId="0" fontId="3" fillId="6" borderId="7"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2" fillId="0" borderId="0" xfId="0" applyFont="1" applyAlignment="1">
      <alignment horizontal="center"/>
    </xf>
    <xf numFmtId="0" fontId="3" fillId="8" borderId="4" xfId="0" applyFont="1" applyFill="1" applyBorder="1" applyAlignment="1">
      <alignment horizontal="center"/>
    </xf>
    <xf numFmtId="0" fontId="3" fillId="8" borderId="6" xfId="0" applyFont="1" applyFill="1" applyBorder="1" applyAlignment="1">
      <alignment horizontal="center"/>
    </xf>
    <xf numFmtId="0" fontId="3" fillId="7" borderId="19" xfId="0" applyFont="1" applyFill="1" applyBorder="1"/>
    <xf numFmtId="0" fontId="3" fillId="8" borderId="20" xfId="0" applyFont="1" applyFill="1" applyBorder="1" applyAlignment="1">
      <alignment horizontal="center" vertical="top"/>
    </xf>
    <xf numFmtId="0" fontId="3" fillId="8" borderId="21" xfId="0" applyFont="1" applyFill="1" applyBorder="1" applyAlignment="1">
      <alignment horizontal="center" vertical="top"/>
    </xf>
    <xf numFmtId="0" fontId="3" fillId="8" borderId="22" xfId="0" applyFont="1" applyFill="1" applyBorder="1" applyAlignment="1">
      <alignment horizontal="center" vertical="top"/>
    </xf>
    <xf numFmtId="1" fontId="3" fillId="0" borderId="7" xfId="0" applyNumberFormat="1" applyFont="1" applyBorder="1"/>
    <xf numFmtId="1" fontId="3" fillId="0" borderId="9" xfId="0" applyNumberFormat="1" applyFont="1" applyBorder="1"/>
    <xf numFmtId="1" fontId="3" fillId="0" borderId="10" xfId="0" applyNumberFormat="1" applyFont="1" applyBorder="1"/>
    <xf numFmtId="0" fontId="3" fillId="7" borderId="11" xfId="0" applyFont="1" applyFill="1" applyBorder="1" applyAlignment="1">
      <alignment horizontal="center"/>
    </xf>
    <xf numFmtId="0" fontId="2" fillId="7" borderId="7" xfId="0" applyFont="1" applyFill="1" applyBorder="1"/>
    <xf numFmtId="0" fontId="2" fillId="7" borderId="10" xfId="0" applyFont="1" applyFill="1" applyBorder="1"/>
    <xf numFmtId="0" fontId="3" fillId="7" borderId="0" xfId="0" applyFont="1" applyFill="1" applyBorder="1"/>
    <xf numFmtId="0" fontId="3" fillId="7" borderId="25" xfId="0" applyFont="1" applyFill="1" applyBorder="1"/>
    <xf numFmtId="0" fontId="3" fillId="7" borderId="26" xfId="0" applyFont="1" applyFill="1" applyBorder="1"/>
    <xf numFmtId="0" fontId="3" fillId="7" borderId="27" xfId="0" applyFont="1" applyFill="1" applyBorder="1"/>
    <xf numFmtId="0" fontId="16" fillId="9" borderId="28" xfId="0" applyFont="1" applyFill="1" applyBorder="1"/>
    <xf numFmtId="0" fontId="3" fillId="6" borderId="20" xfId="0" applyFont="1" applyFill="1" applyBorder="1" applyAlignment="1">
      <alignment horizontal="center" vertical="top"/>
    </xf>
    <xf numFmtId="0" fontId="3" fillId="6" borderId="21" xfId="0" applyFont="1" applyFill="1" applyBorder="1" applyAlignment="1">
      <alignment horizontal="center" vertical="top"/>
    </xf>
    <xf numFmtId="0" fontId="3" fillId="6" borderId="22" xfId="0" applyFont="1" applyFill="1" applyBorder="1" applyAlignment="1">
      <alignment horizontal="center" vertical="top"/>
    </xf>
    <xf numFmtId="0" fontId="3" fillId="7" borderId="30" xfId="0" applyFont="1" applyFill="1" applyBorder="1"/>
    <xf numFmtId="0" fontId="16" fillId="9" borderId="31" xfId="0" applyFont="1" applyFill="1" applyBorder="1" applyAlignment="1">
      <alignment horizontal="center"/>
    </xf>
    <xf numFmtId="0" fontId="16" fillId="9" borderId="18" xfId="0" applyFont="1" applyFill="1" applyBorder="1" applyAlignment="1">
      <alignment horizontal="center"/>
    </xf>
    <xf numFmtId="0" fontId="16" fillId="9" borderId="32" xfId="0" applyFont="1" applyFill="1" applyBorder="1" applyAlignment="1">
      <alignment horizontal="center"/>
    </xf>
    <xf numFmtId="0" fontId="2" fillId="0" borderId="0" xfId="0" applyFont="1" applyBorder="1" applyAlignment="1">
      <alignment horizontal="center"/>
    </xf>
    <xf numFmtId="0" fontId="3" fillId="7" borderId="33" xfId="0" applyFont="1" applyFill="1" applyBorder="1"/>
    <xf numFmtId="0" fontId="3" fillId="7" borderId="34" xfId="0" applyFont="1" applyFill="1" applyBorder="1"/>
    <xf numFmtId="0" fontId="3" fillId="7" borderId="35" xfId="0" applyFont="1" applyFill="1" applyBorder="1"/>
    <xf numFmtId="0" fontId="3" fillId="0" borderId="0" xfId="0" applyFont="1" applyAlignment="1">
      <alignment horizontal="left" vertical="top"/>
    </xf>
    <xf numFmtId="164" fontId="3" fillId="0" borderId="0" xfId="0" applyNumberFormat="1" applyFont="1" applyAlignment="1">
      <alignment horizontal="left" vertical="top"/>
    </xf>
    <xf numFmtId="0" fontId="3" fillId="0" borderId="36" xfId="0" applyFont="1" applyBorder="1" applyAlignment="1">
      <alignment horizontal="left" vertical="top"/>
    </xf>
    <xf numFmtId="164" fontId="3" fillId="0" borderId="37" xfId="0" applyNumberFormat="1" applyFont="1" applyBorder="1" applyAlignment="1">
      <alignment horizontal="left" vertical="top"/>
    </xf>
    <xf numFmtId="0" fontId="3" fillId="0" borderId="37" xfId="0" applyFont="1" applyBorder="1" applyAlignment="1">
      <alignment horizontal="left" vertical="top"/>
    </xf>
    <xf numFmtId="164" fontId="3" fillId="0" borderId="37" xfId="0" applyNumberFormat="1" applyFont="1" applyBorder="1" applyAlignment="1">
      <alignment horizontal="center" vertical="top"/>
    </xf>
    <xf numFmtId="0" fontId="3" fillId="0" borderId="37" xfId="0" applyFont="1" applyBorder="1" applyAlignment="1">
      <alignment horizontal="left" vertical="top" wrapText="1"/>
    </xf>
    <xf numFmtId="0" fontId="3" fillId="0" borderId="38" xfId="0" applyFont="1" applyBorder="1" applyAlignment="1">
      <alignment horizontal="left" vertical="top" wrapText="1"/>
    </xf>
    <xf numFmtId="0" fontId="3" fillId="0" borderId="39" xfId="0" applyFont="1" applyBorder="1" applyAlignment="1">
      <alignment horizontal="left" vertical="top"/>
    </xf>
    <xf numFmtId="164" fontId="3" fillId="0" borderId="2" xfId="0" applyNumberFormat="1" applyFont="1" applyBorder="1" applyAlignment="1">
      <alignment horizontal="center" vertical="top"/>
    </xf>
    <xf numFmtId="0" fontId="3" fillId="0" borderId="2" xfId="0" applyFont="1" applyBorder="1" applyAlignment="1">
      <alignment horizontal="center" vertical="top"/>
    </xf>
    <xf numFmtId="0" fontId="3" fillId="0" borderId="2" xfId="0" applyFont="1" applyBorder="1" applyAlignment="1">
      <alignment horizontal="left" vertical="top" wrapText="1"/>
    </xf>
    <xf numFmtId="0" fontId="3" fillId="0" borderId="40" xfId="0" applyFont="1" applyBorder="1" applyAlignment="1">
      <alignment horizontal="left" vertical="top" wrapText="1"/>
    </xf>
    <xf numFmtId="164" fontId="3" fillId="0" borderId="2" xfId="0" applyNumberFormat="1" applyFont="1" applyBorder="1" applyAlignment="1">
      <alignment horizontal="left" vertical="top"/>
    </xf>
    <xf numFmtId="0" fontId="3" fillId="0" borderId="2" xfId="0" applyFont="1" applyBorder="1" applyAlignment="1">
      <alignment horizontal="left" vertical="top"/>
    </xf>
    <xf numFmtId="164" fontId="3" fillId="0" borderId="39" xfId="0" applyNumberFormat="1" applyFont="1" applyBorder="1" applyAlignment="1">
      <alignment horizontal="center" vertical="top"/>
    </xf>
    <xf numFmtId="164" fontId="2" fillId="0" borderId="41" xfId="0" applyNumberFormat="1" applyFont="1" applyBorder="1" applyAlignment="1">
      <alignment horizontal="left" vertical="top" wrapText="1"/>
    </xf>
    <xf numFmtId="164" fontId="2" fillId="0" borderId="3" xfId="0" applyNumberFormat="1" applyFont="1" applyBorder="1" applyAlignment="1">
      <alignment horizontal="left" vertical="top" wrapText="1"/>
    </xf>
    <xf numFmtId="0" fontId="2" fillId="0" borderId="3" xfId="0" applyFont="1" applyBorder="1" applyAlignment="1">
      <alignment horizontal="left" vertical="top" wrapText="1"/>
    </xf>
    <xf numFmtId="0" fontId="2" fillId="0" borderId="42" xfId="0" applyFont="1" applyBorder="1" applyAlignment="1">
      <alignment horizontal="left" vertical="top" wrapText="1"/>
    </xf>
    <xf numFmtId="0" fontId="0" fillId="0" borderId="0" xfId="0" applyAlignment="1">
      <alignment horizontal="left"/>
    </xf>
    <xf numFmtId="0" fontId="0" fillId="0" borderId="0" xfId="0" applyAlignment="1">
      <alignment horizontal="center"/>
    </xf>
    <xf numFmtId="0" fontId="17" fillId="8" borderId="4" xfId="0" applyFont="1" applyFill="1" applyBorder="1" applyAlignment="1">
      <alignment horizontal="center" vertical="center"/>
    </xf>
    <xf numFmtId="0" fontId="17" fillId="8" borderId="5" xfId="0" applyFont="1" applyFill="1" applyBorder="1" applyAlignment="1">
      <alignment horizontal="center" vertical="center"/>
    </xf>
    <xf numFmtId="0" fontId="17" fillId="8" borderId="6" xfId="0" applyFont="1" applyFill="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17" fillId="0" borderId="6" xfId="0" applyFont="1" applyBorder="1" applyAlignment="1">
      <alignment horizontal="center" vertical="center"/>
    </xf>
    <xf numFmtId="0" fontId="17" fillId="8" borderId="14" xfId="0" applyFont="1" applyFill="1" applyBorder="1" applyAlignment="1">
      <alignment horizontal="center" vertical="center"/>
    </xf>
    <xf numFmtId="0" fontId="17" fillId="8" borderId="2" xfId="0" applyFont="1" applyFill="1" applyBorder="1" applyAlignment="1">
      <alignment horizontal="center" vertical="center"/>
    </xf>
    <xf numFmtId="0" fontId="17" fillId="8" borderId="15" xfId="0" applyFont="1" applyFill="1" applyBorder="1" applyAlignment="1">
      <alignment horizontal="center" vertical="center"/>
    </xf>
    <xf numFmtId="0" fontId="17" fillId="0" borderId="14" xfId="0" applyFont="1" applyBorder="1" applyAlignment="1">
      <alignment horizontal="center" vertical="center"/>
    </xf>
    <xf numFmtId="0" fontId="17" fillId="0" borderId="2" xfId="0" applyFont="1" applyBorder="1" applyAlignment="1">
      <alignment horizontal="center" vertical="center"/>
    </xf>
    <xf numFmtId="0" fontId="17" fillId="0" borderId="15" xfId="0" applyFont="1" applyBorder="1" applyAlignment="1">
      <alignment horizontal="center" vertical="center"/>
    </xf>
    <xf numFmtId="0" fontId="17" fillId="8" borderId="7" xfId="0" applyFont="1" applyFill="1" applyBorder="1" applyAlignment="1">
      <alignment horizontal="center" vertical="center"/>
    </xf>
    <xf numFmtId="0" fontId="17" fillId="8" borderId="9" xfId="0" applyFont="1" applyFill="1" applyBorder="1" applyAlignment="1">
      <alignment horizontal="center" vertical="center"/>
    </xf>
    <xf numFmtId="0" fontId="17" fillId="8" borderId="10" xfId="0" applyFont="1" applyFill="1" applyBorder="1" applyAlignment="1">
      <alignment horizontal="center" vertical="center"/>
    </xf>
    <xf numFmtId="0" fontId="17" fillId="0" borderId="7" xfId="0" applyFont="1" applyBorder="1" applyAlignment="1">
      <alignment horizontal="center" vertical="center"/>
    </xf>
    <xf numFmtId="0" fontId="17" fillId="0" borderId="9" xfId="0" applyFont="1" applyBorder="1" applyAlignment="1">
      <alignment horizontal="center" vertical="center"/>
    </xf>
    <xf numFmtId="0" fontId="17" fillId="0" borderId="10" xfId="0" applyFont="1" applyBorder="1" applyAlignment="1">
      <alignment horizontal="center" vertical="center"/>
    </xf>
    <xf numFmtId="0" fontId="17" fillId="0" borderId="37" xfId="0" applyFont="1" applyBorder="1" applyAlignment="1">
      <alignment horizontal="center" vertical="center"/>
    </xf>
    <xf numFmtId="0" fontId="17" fillId="0" borderId="38" xfId="0" applyFont="1" applyBorder="1" applyAlignment="1">
      <alignment horizontal="center" vertical="center"/>
    </xf>
    <xf numFmtId="0" fontId="17" fillId="0" borderId="40" xfId="0" applyFont="1" applyBorder="1" applyAlignment="1">
      <alignment horizontal="center" vertical="center"/>
    </xf>
    <xf numFmtId="0" fontId="17" fillId="0" borderId="3" xfId="0" applyFont="1" applyBorder="1" applyAlignment="1">
      <alignment horizontal="center" vertical="center"/>
    </xf>
    <xf numFmtId="0" fontId="17" fillId="0" borderId="42" xfId="0" applyFont="1" applyBorder="1" applyAlignment="1">
      <alignment horizontal="center" vertical="center"/>
    </xf>
    <xf numFmtId="0" fontId="0" fillId="0" borderId="0" xfId="0" applyAlignment="1">
      <alignment horizontal="left" vertical="center"/>
    </xf>
    <xf numFmtId="0" fontId="3" fillId="0" borderId="0" xfId="0" applyFont="1" applyAlignment="1">
      <alignment vertical="top"/>
    </xf>
    <xf numFmtId="0" fontId="3" fillId="0" borderId="0" xfId="0" applyFont="1" applyAlignment="1">
      <alignment horizontal="center" vertical="top" textRotation="180"/>
    </xf>
    <xf numFmtId="0" fontId="3" fillId="10" borderId="0" xfId="0" applyFont="1" applyFill="1" applyBorder="1" applyAlignment="1">
      <alignment horizontal="center" vertical="top"/>
    </xf>
    <xf numFmtId="0" fontId="3" fillId="0" borderId="0" xfId="0" applyFont="1" applyBorder="1" applyAlignment="1">
      <alignment horizontal="center" vertical="top"/>
    </xf>
    <xf numFmtId="0" fontId="3" fillId="0" borderId="0" xfId="0" applyFont="1" applyAlignment="1">
      <alignment vertical="top" textRotation="180"/>
    </xf>
    <xf numFmtId="0" fontId="3" fillId="8" borderId="0" xfId="0" applyFont="1" applyFill="1" applyAlignment="1">
      <alignment horizontal="center" vertical="top" textRotation="180"/>
    </xf>
    <xf numFmtId="0" fontId="3" fillId="0" borderId="0" xfId="0" applyFont="1" applyAlignment="1">
      <alignment horizontal="center" vertical="top"/>
    </xf>
    <xf numFmtId="0" fontId="3" fillId="8" borderId="0" xfId="0" applyFont="1" applyFill="1" applyAlignment="1">
      <alignment horizontal="center" vertical="top"/>
    </xf>
    <xf numFmtId="0" fontId="3" fillId="11" borderId="0" xfId="0" applyFont="1" applyFill="1" applyAlignment="1">
      <alignment horizontal="center" vertical="top"/>
    </xf>
    <xf numFmtId="0" fontId="3" fillId="12" borderId="0" xfId="0" applyFont="1" applyFill="1" applyAlignment="1">
      <alignment horizontal="center" vertical="top"/>
    </xf>
    <xf numFmtId="0" fontId="3" fillId="13" borderId="0" xfId="0" applyFont="1" applyFill="1" applyAlignment="1">
      <alignment horizontal="center" vertical="top"/>
    </xf>
    <xf numFmtId="0" fontId="2" fillId="0" borderId="0" xfId="0" applyFont="1" applyAlignment="1">
      <alignment vertical="top"/>
    </xf>
    <xf numFmtId="0" fontId="3" fillId="11" borderId="0" xfId="0" applyFont="1" applyFill="1" applyAlignment="1">
      <alignment vertical="top"/>
    </xf>
    <xf numFmtId="0" fontId="3" fillId="0" borderId="0" xfId="0" applyFont="1" applyAlignment="1">
      <alignment horizontal="right" vertical="top"/>
    </xf>
    <xf numFmtId="0" fontId="3" fillId="12" borderId="0" xfId="0" applyFont="1" applyFill="1" applyAlignment="1">
      <alignment vertical="top"/>
    </xf>
    <xf numFmtId="0" fontId="3" fillId="13" borderId="0" xfId="0" applyFont="1" applyFill="1" applyAlignment="1">
      <alignment vertical="top"/>
    </xf>
    <xf numFmtId="0" fontId="3" fillId="0" borderId="2" xfId="0" applyFont="1" applyBorder="1" applyAlignment="1">
      <alignment horizontal="center"/>
    </xf>
    <xf numFmtId="0" fontId="2" fillId="8" borderId="2" xfId="0" applyFont="1" applyFill="1" applyBorder="1" applyAlignment="1">
      <alignment horizontal="center"/>
    </xf>
    <xf numFmtId="0" fontId="1" fillId="0" borderId="0" xfId="5"/>
    <xf numFmtId="0" fontId="3" fillId="0" borderId="4" xfId="5" applyFont="1" applyBorder="1" applyAlignment="1">
      <alignment horizontal="center"/>
    </xf>
    <xf numFmtId="0" fontId="18" fillId="0" borderId="5" xfId="5" applyFont="1" applyBorder="1" applyAlignment="1">
      <alignment horizontal="center"/>
    </xf>
    <xf numFmtId="0" fontId="19" fillId="0" borderId="5" xfId="5" applyFont="1" applyBorder="1" applyAlignment="1">
      <alignment horizontal="center"/>
    </xf>
    <xf numFmtId="0" fontId="20" fillId="0" borderId="6" xfId="5" applyFont="1" applyBorder="1" applyAlignment="1">
      <alignment horizontal="center"/>
    </xf>
    <xf numFmtId="0" fontId="1" fillId="0" borderId="44" xfId="5" applyBorder="1" applyAlignment="1">
      <alignment horizontal="center"/>
    </xf>
    <xf numFmtId="0" fontId="3" fillId="0" borderId="14" xfId="5" applyFont="1" applyBorder="1" applyAlignment="1">
      <alignment horizontal="center"/>
    </xf>
    <xf numFmtId="0" fontId="18" fillId="0" borderId="2" xfId="5" applyFont="1" applyBorder="1" applyAlignment="1">
      <alignment horizontal="center"/>
    </xf>
    <xf numFmtId="0" fontId="19" fillId="0" borderId="2" xfId="5" applyFont="1" applyBorder="1" applyAlignment="1">
      <alignment horizontal="center"/>
    </xf>
    <xf numFmtId="0" fontId="20" fillId="0" borderId="15" xfId="5" applyFont="1" applyBorder="1" applyAlignment="1">
      <alignment horizontal="center"/>
    </xf>
    <xf numFmtId="0" fontId="1" fillId="0" borderId="45" xfId="5" applyBorder="1" applyAlignment="1">
      <alignment horizontal="center"/>
    </xf>
    <xf numFmtId="0" fontId="3" fillId="0" borderId="46" xfId="5" applyFont="1" applyBorder="1" applyAlignment="1">
      <alignment horizontal="center"/>
    </xf>
    <xf numFmtId="0" fontId="18" fillId="0" borderId="3" xfId="5" applyFont="1" applyBorder="1" applyAlignment="1">
      <alignment horizontal="center"/>
    </xf>
    <xf numFmtId="0" fontId="19" fillId="0" borderId="3" xfId="5" applyFont="1" applyBorder="1" applyAlignment="1">
      <alignment horizontal="center"/>
    </xf>
    <xf numFmtId="0" fontId="20" fillId="0" borderId="47" xfId="5" applyFont="1" applyBorder="1" applyAlignment="1">
      <alignment horizontal="center"/>
    </xf>
    <xf numFmtId="0" fontId="1" fillId="0" borderId="48" xfId="5" applyBorder="1" applyAlignment="1">
      <alignment horizontal="center"/>
    </xf>
    <xf numFmtId="0" fontId="1" fillId="0" borderId="20" xfId="5" applyFill="1" applyBorder="1"/>
    <xf numFmtId="0" fontId="1" fillId="0" borderId="21" xfId="5" applyBorder="1"/>
    <xf numFmtId="0" fontId="1" fillId="0" borderId="22" xfId="5" applyBorder="1"/>
    <xf numFmtId="1" fontId="3" fillId="6" borderId="20" xfId="0" applyNumberFormat="1" applyFont="1" applyFill="1" applyBorder="1" applyAlignment="1">
      <alignment horizontal="center"/>
    </xf>
    <xf numFmtId="1" fontId="3" fillId="6" borderId="21" xfId="0" applyNumberFormat="1" applyFont="1" applyFill="1" applyBorder="1" applyAlignment="1">
      <alignment horizontal="center"/>
    </xf>
    <xf numFmtId="1" fontId="3" fillId="6" borderId="22" xfId="0" applyNumberFormat="1" applyFont="1" applyFill="1" applyBorder="1" applyAlignment="1">
      <alignment horizontal="center"/>
    </xf>
    <xf numFmtId="0" fontId="3" fillId="8" borderId="28" xfId="0" applyFont="1" applyFill="1" applyBorder="1"/>
    <xf numFmtId="0" fontId="3" fillId="11" borderId="28" xfId="0" applyFont="1" applyFill="1" applyBorder="1" applyAlignment="1">
      <alignment horizontal="center"/>
    </xf>
    <xf numFmtId="0" fontId="3" fillId="11" borderId="49" xfId="0" applyFont="1" applyFill="1" applyBorder="1" applyAlignment="1">
      <alignment horizontal="center"/>
    </xf>
    <xf numFmtId="0" fontId="3" fillId="11" borderId="8" xfId="0" applyFont="1" applyFill="1" applyBorder="1" applyAlignment="1">
      <alignment horizontal="center"/>
    </xf>
    <xf numFmtId="0" fontId="3" fillId="11" borderId="50" xfId="0" applyFont="1" applyFill="1" applyBorder="1" applyAlignment="1">
      <alignment horizontal="center"/>
    </xf>
    <xf numFmtId="0" fontId="3" fillId="13" borderId="51" xfId="0" applyFont="1" applyFill="1" applyBorder="1" applyAlignment="1">
      <alignment horizontal="center"/>
    </xf>
    <xf numFmtId="0" fontId="3" fillId="13" borderId="36" xfId="0" applyFont="1" applyFill="1" applyBorder="1" applyAlignment="1">
      <alignment horizontal="center"/>
    </xf>
    <xf numFmtId="0" fontId="3" fillId="13" borderId="37" xfId="0" applyFont="1" applyFill="1" applyBorder="1" applyAlignment="1">
      <alignment horizontal="center"/>
    </xf>
    <xf numFmtId="0" fontId="2" fillId="8" borderId="44" xfId="0" applyFont="1" applyFill="1" applyBorder="1" applyAlignment="1">
      <alignment horizontal="center"/>
    </xf>
    <xf numFmtId="0" fontId="3" fillId="13" borderId="13" xfId="0" applyFont="1" applyFill="1" applyBorder="1" applyAlignment="1">
      <alignment horizontal="center"/>
    </xf>
    <xf numFmtId="0" fontId="3" fillId="13" borderId="39" xfId="0" applyFont="1" applyFill="1" applyBorder="1" applyAlignment="1">
      <alignment horizontal="center"/>
    </xf>
    <xf numFmtId="0" fontId="3" fillId="13" borderId="2" xfId="0" applyFont="1" applyFill="1" applyBorder="1" applyAlignment="1">
      <alignment horizontal="center"/>
    </xf>
    <xf numFmtId="0" fontId="2" fillId="8" borderId="45" xfId="0" applyFont="1" applyFill="1" applyBorder="1" applyAlignment="1">
      <alignment horizontal="center"/>
    </xf>
    <xf numFmtId="0" fontId="3" fillId="13" borderId="11" xfId="0" applyFont="1" applyFill="1" applyBorder="1" applyAlignment="1">
      <alignment horizontal="center"/>
    </xf>
    <xf numFmtId="0" fontId="3" fillId="13" borderId="41" xfId="0" applyFont="1" applyFill="1" applyBorder="1" applyAlignment="1">
      <alignment horizontal="center"/>
    </xf>
    <xf numFmtId="0" fontId="3" fillId="13" borderId="3" xfId="0" applyFont="1" applyFill="1" applyBorder="1" applyAlignment="1">
      <alignment horizontal="center"/>
    </xf>
    <xf numFmtId="0" fontId="2" fillId="8" borderId="52" xfId="0" applyFont="1" applyFill="1" applyBorder="1" applyAlignment="1">
      <alignment horizontal="center"/>
    </xf>
    <xf numFmtId="0" fontId="2" fillId="8" borderId="20" xfId="0" applyFont="1" applyFill="1" applyBorder="1"/>
    <xf numFmtId="0" fontId="2" fillId="8" borderId="21" xfId="0" applyFont="1" applyFill="1" applyBorder="1" applyAlignment="1">
      <alignment horizontal="center"/>
    </xf>
    <xf numFmtId="0" fontId="2" fillId="8" borderId="22" xfId="0" applyFont="1" applyFill="1" applyBorder="1"/>
    <xf numFmtId="0" fontId="3" fillId="6" borderId="20" xfId="0" applyFont="1" applyFill="1" applyBorder="1"/>
    <xf numFmtId="0" fontId="3" fillId="6" borderId="22" xfId="0" applyFont="1" applyFill="1" applyBorder="1"/>
    <xf numFmtId="0" fontId="22" fillId="0" borderId="2" xfId="0" applyFont="1" applyBorder="1" applyAlignment="1">
      <alignment vertical="top" wrapText="1"/>
    </xf>
    <xf numFmtId="0" fontId="22" fillId="0" borderId="0" xfId="0" applyFont="1" applyAlignment="1">
      <alignment vertical="center"/>
    </xf>
    <xf numFmtId="0" fontId="22" fillId="0" borderId="2" xfId="0" applyFont="1" applyBorder="1" applyAlignment="1">
      <alignment horizontal="center" vertical="center" wrapText="1"/>
    </xf>
    <xf numFmtId="0" fontId="22" fillId="0" borderId="2" xfId="0" applyFont="1" applyBorder="1" applyAlignment="1">
      <alignment vertical="center"/>
    </xf>
    <xf numFmtId="0" fontId="22" fillId="0" borderId="2" xfId="0" applyFont="1" applyBorder="1" applyAlignment="1">
      <alignment horizontal="center" vertical="center"/>
    </xf>
    <xf numFmtId="0" fontId="0" fillId="0" borderId="2" xfId="0" applyBorder="1"/>
    <xf numFmtId="0" fontId="22" fillId="0" borderId="40" xfId="0" applyFont="1" applyBorder="1" applyAlignment="1">
      <alignment vertical="top" wrapText="1"/>
    </xf>
    <xf numFmtId="0" fontId="22" fillId="0" borderId="40" xfId="0" applyFont="1" applyBorder="1" applyAlignment="1">
      <alignment vertical="center"/>
    </xf>
    <xf numFmtId="0" fontId="3" fillId="0" borderId="39" xfId="0" applyFont="1" applyBorder="1" applyAlignment="1">
      <alignment horizontal="center"/>
    </xf>
    <xf numFmtId="0" fontId="0" fillId="0" borderId="39" xfId="0" applyBorder="1"/>
    <xf numFmtId="0" fontId="21" fillId="0" borderId="42" xfId="0" applyFont="1" applyBorder="1" applyAlignment="1">
      <alignment vertical="top" wrapText="1"/>
    </xf>
    <xf numFmtId="0" fontId="21" fillId="0" borderId="3" xfId="0" applyFont="1" applyBorder="1" applyAlignment="1">
      <alignment vertical="top" wrapText="1"/>
    </xf>
    <xf numFmtId="0" fontId="2" fillId="0" borderId="3" xfId="0" applyFont="1" applyBorder="1" applyAlignment="1">
      <alignment horizontal="center"/>
    </xf>
    <xf numFmtId="0" fontId="2" fillId="0" borderId="41" xfId="0" applyFont="1" applyBorder="1" applyAlignment="1">
      <alignment horizontal="center"/>
    </xf>
    <xf numFmtId="0" fontId="22" fillId="0" borderId="38" xfId="0" applyFont="1" applyBorder="1" applyAlignment="1">
      <alignment vertical="center"/>
    </xf>
    <xf numFmtId="0" fontId="22" fillId="0" borderId="37" xfId="0" applyFont="1" applyBorder="1" applyAlignment="1">
      <alignment vertical="center"/>
    </xf>
    <xf numFmtId="0" fontId="22" fillId="0" borderId="37" xfId="0" applyFont="1" applyBorder="1" applyAlignment="1">
      <alignment horizontal="center" vertical="center"/>
    </xf>
    <xf numFmtId="0" fontId="0" fillId="0" borderId="37" xfId="0" applyBorder="1"/>
    <xf numFmtId="0" fontId="0" fillId="0" borderId="36" xfId="0" applyBorder="1"/>
    <xf numFmtId="0" fontId="3" fillId="0" borderId="2" xfId="1" applyFont="1" applyBorder="1" applyAlignment="1">
      <alignment horizontal="center" vertical="top" wrapText="1"/>
    </xf>
    <xf numFmtId="0" fontId="3" fillId="0" borderId="3" xfId="1" applyFont="1" applyBorder="1" applyAlignment="1">
      <alignment horizontal="center" vertical="top" wrapText="1"/>
    </xf>
    <xf numFmtId="0" fontId="15" fillId="0" borderId="2" xfId="0" applyFont="1" applyBorder="1"/>
    <xf numFmtId="0" fontId="15" fillId="0" borderId="2" xfId="0" applyFont="1" applyBorder="1" applyAlignment="1">
      <alignment vertical="top"/>
    </xf>
    <xf numFmtId="0" fontId="15" fillId="0" borderId="2" xfId="0" applyFont="1" applyBorder="1" applyAlignment="1">
      <alignment vertical="top" wrapText="1"/>
    </xf>
    <xf numFmtId="0" fontId="15" fillId="0" borderId="40" xfId="0" applyFont="1" applyBorder="1"/>
    <xf numFmtId="0" fontId="15" fillId="0" borderId="37" xfId="0" applyFont="1" applyBorder="1" applyAlignment="1">
      <alignment vertical="top" wrapText="1"/>
    </xf>
    <xf numFmtId="0" fontId="16" fillId="14" borderId="42" xfId="0" applyFont="1" applyFill="1" applyBorder="1" applyAlignment="1">
      <alignment vertical="top" wrapText="1"/>
    </xf>
    <xf numFmtId="0" fontId="16" fillId="14" borderId="3" xfId="0" applyFont="1" applyFill="1" applyBorder="1" applyAlignment="1">
      <alignment vertical="top"/>
    </xf>
    <xf numFmtId="0" fontId="16" fillId="8" borderId="3" xfId="0" applyFont="1" applyFill="1" applyBorder="1" applyAlignment="1">
      <alignment vertical="top" wrapText="1"/>
    </xf>
    <xf numFmtId="0" fontId="15" fillId="0" borderId="40" xfId="0" applyFont="1" applyBorder="1" applyAlignment="1">
      <alignment horizontal="center" vertical="top" wrapText="1"/>
    </xf>
    <xf numFmtId="0" fontId="15" fillId="0" borderId="39" xfId="0" applyFont="1" applyBorder="1" applyAlignment="1">
      <alignment vertical="top" wrapText="1"/>
    </xf>
    <xf numFmtId="0" fontId="16" fillId="14" borderId="3" xfId="0" applyFont="1" applyFill="1" applyBorder="1" applyAlignment="1">
      <alignment vertical="top" wrapText="1"/>
    </xf>
    <xf numFmtId="0" fontId="16" fillId="14" borderId="41" xfId="0" applyFont="1" applyFill="1" applyBorder="1" applyAlignment="1">
      <alignment vertical="top" wrapText="1"/>
    </xf>
    <xf numFmtId="0" fontId="15" fillId="0" borderId="38" xfId="0" applyFont="1" applyBorder="1" applyAlignment="1">
      <alignment horizontal="center" vertical="top" wrapText="1"/>
    </xf>
    <xf numFmtId="0" fontId="15" fillId="0" borderId="36" xfId="0" applyFont="1" applyBorder="1" applyAlignment="1">
      <alignment vertical="top" wrapText="1"/>
    </xf>
    <xf numFmtId="0" fontId="15" fillId="0" borderId="42" xfId="0" applyFont="1" applyBorder="1" applyAlignment="1">
      <alignment horizontal="center" vertical="top" wrapText="1"/>
    </xf>
    <xf numFmtId="0" fontId="15" fillId="0" borderId="3" xfId="0" applyFont="1" applyBorder="1" applyAlignment="1">
      <alignment vertical="top" wrapText="1"/>
    </xf>
    <xf numFmtId="0" fontId="15" fillId="0" borderId="41" xfId="0" applyFont="1" applyBorder="1" applyAlignment="1">
      <alignment vertical="top" wrapText="1"/>
    </xf>
    <xf numFmtId="0" fontId="3" fillId="0" borderId="60" xfId="0" applyFont="1" applyBorder="1" applyAlignment="1">
      <alignment vertical="center" wrapText="1"/>
    </xf>
    <xf numFmtId="0" fontId="3" fillId="0" borderId="60" xfId="0" applyFont="1" applyBorder="1" applyAlignment="1">
      <alignment vertical="top" wrapText="1"/>
    </xf>
    <xf numFmtId="0" fontId="25" fillId="0" borderId="60" xfId="14" applyFont="1" applyBorder="1" applyAlignment="1">
      <alignment vertical="top" wrapText="1"/>
    </xf>
    <xf numFmtId="0" fontId="25" fillId="0" borderId="61" xfId="14" applyFont="1" applyBorder="1" applyAlignment="1">
      <alignment vertical="top" wrapText="1"/>
    </xf>
    <xf numFmtId="0" fontId="3" fillId="0" borderId="62" xfId="0" applyFont="1" applyBorder="1" applyAlignment="1">
      <alignment vertical="top" wrapText="1"/>
    </xf>
    <xf numFmtId="0" fontId="25" fillId="0" borderId="62" xfId="14" applyFont="1" applyBorder="1" applyAlignment="1">
      <alignment vertical="top" wrapText="1"/>
    </xf>
    <xf numFmtId="0" fontId="3" fillId="0" borderId="61" xfId="0" applyFont="1" applyBorder="1" applyAlignment="1">
      <alignment vertical="top" wrapText="1"/>
    </xf>
    <xf numFmtId="0" fontId="25" fillId="0" borderId="66" xfId="14" applyFont="1" applyBorder="1" applyAlignment="1">
      <alignment vertical="top" wrapText="1"/>
    </xf>
    <xf numFmtId="0" fontId="25" fillId="0" borderId="67" xfId="14" applyFont="1" applyBorder="1" applyAlignment="1">
      <alignment vertical="top" wrapText="1"/>
    </xf>
    <xf numFmtId="0" fontId="3" fillId="0" borderId="68" xfId="0" applyFont="1" applyBorder="1" applyAlignment="1">
      <alignment vertical="top" wrapText="1"/>
    </xf>
    <xf numFmtId="0" fontId="25" fillId="0" borderId="63" xfId="14" applyFont="1" applyBorder="1" applyAlignment="1">
      <alignment vertical="top" wrapText="1"/>
    </xf>
    <xf numFmtId="0" fontId="25" fillId="0" borderId="64" xfId="14" applyFont="1" applyBorder="1" applyAlignment="1">
      <alignment vertical="top" wrapText="1"/>
    </xf>
    <xf numFmtId="0" fontId="3" fillId="0" borderId="65" xfId="0" applyFont="1" applyBorder="1" applyAlignment="1">
      <alignment vertical="top" wrapText="1"/>
    </xf>
    <xf numFmtId="0" fontId="2" fillId="14" borderId="69" xfId="0" applyFont="1" applyFill="1" applyBorder="1" applyAlignment="1">
      <alignment vertical="top" wrapText="1"/>
    </xf>
    <xf numFmtId="0" fontId="2" fillId="14" borderId="70" xfId="0" applyFont="1" applyFill="1" applyBorder="1" applyAlignment="1">
      <alignment vertical="top" wrapText="1"/>
    </xf>
    <xf numFmtId="0" fontId="2" fillId="14" borderId="71" xfId="0" applyFont="1" applyFill="1" applyBorder="1" applyAlignment="1">
      <alignment vertical="top" wrapText="1"/>
    </xf>
    <xf numFmtId="0" fontId="3" fillId="0" borderId="60" xfId="0" applyFont="1" applyBorder="1" applyAlignment="1">
      <alignment horizontal="center" vertical="top" wrapText="1"/>
    </xf>
    <xf numFmtId="0" fontId="26" fillId="0" borderId="60" xfId="0" applyFont="1" applyBorder="1" applyAlignment="1">
      <alignment horizontal="center" vertical="top" wrapText="1"/>
    </xf>
    <xf numFmtId="0" fontId="27" fillId="0" borderId="60" xfId="0" applyFont="1" applyBorder="1" applyAlignment="1">
      <alignment horizontal="center" vertical="top" wrapText="1"/>
    </xf>
    <xf numFmtId="0" fontId="26" fillId="0" borderId="67" xfId="0" applyFont="1" applyBorder="1" applyAlignment="1">
      <alignment horizontal="center" vertical="top" wrapText="1"/>
    </xf>
    <xf numFmtId="0" fontId="3" fillId="0" borderId="66" xfId="0" applyFont="1" applyBorder="1" applyAlignment="1">
      <alignment vertical="top" wrapText="1"/>
    </xf>
    <xf numFmtId="0" fontId="27" fillId="0" borderId="67" xfId="0" applyFont="1" applyBorder="1" applyAlignment="1">
      <alignment horizontal="center" vertical="top" wrapText="1"/>
    </xf>
    <xf numFmtId="0" fontId="25" fillId="0" borderId="60" xfId="14" applyFont="1" applyBorder="1" applyAlignment="1">
      <alignment horizontal="left" vertical="top" wrapText="1"/>
    </xf>
    <xf numFmtId="0" fontId="3" fillId="0" borderId="62" xfId="0" applyFont="1" applyBorder="1" applyAlignment="1">
      <alignment horizontal="left" vertical="top" wrapText="1"/>
    </xf>
    <xf numFmtId="0" fontId="3" fillId="0" borderId="60" xfId="0" applyFont="1" applyBorder="1" applyAlignment="1">
      <alignment horizontal="left" vertical="top" wrapText="1"/>
    </xf>
    <xf numFmtId="0" fontId="25" fillId="0" borderId="62" xfId="14" applyFont="1" applyBorder="1" applyAlignment="1">
      <alignment horizontal="left" vertical="top" wrapText="1"/>
    </xf>
    <xf numFmtId="0" fontId="3" fillId="0" borderId="67" xfId="0" applyFont="1" applyBorder="1" applyAlignment="1">
      <alignment horizontal="left" vertical="top" wrapText="1"/>
    </xf>
    <xf numFmtId="0" fontId="3" fillId="0" borderId="68" xfId="0" applyFont="1" applyBorder="1" applyAlignment="1">
      <alignment horizontal="left" vertical="top" wrapText="1"/>
    </xf>
    <xf numFmtId="0" fontId="3" fillId="0" borderId="65" xfId="0" applyFont="1" applyBorder="1" applyAlignment="1">
      <alignment horizontal="left" vertical="top" wrapText="1"/>
    </xf>
    <xf numFmtId="0" fontId="3" fillId="0" borderId="64" xfId="0" applyFont="1" applyBorder="1" applyAlignment="1">
      <alignment horizontal="center" vertical="top" wrapText="1"/>
    </xf>
    <xf numFmtId="0" fontId="25" fillId="0" borderId="64" xfId="14" applyFont="1" applyBorder="1" applyAlignment="1">
      <alignment horizontal="left" vertical="top" wrapText="1"/>
    </xf>
    <xf numFmtId="0" fontId="2" fillId="14" borderId="70" xfId="0" applyFont="1" applyFill="1" applyBorder="1" applyAlignment="1">
      <alignment horizontal="left" vertical="top" wrapText="1"/>
    </xf>
    <xf numFmtId="0" fontId="2" fillId="14" borderId="71" xfId="0" applyFont="1" applyFill="1" applyBorder="1" applyAlignment="1">
      <alignment horizontal="lef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2" fillId="14" borderId="22" xfId="0" applyFont="1" applyFill="1" applyBorder="1" applyAlignment="1">
      <alignment vertical="center" wrapText="1"/>
    </xf>
    <xf numFmtId="0" fontId="2" fillId="14" borderId="20" xfId="0" applyFont="1" applyFill="1" applyBorder="1" applyAlignment="1">
      <alignment vertical="center" wrapText="1"/>
    </xf>
    <xf numFmtId="0" fontId="3" fillId="0" borderId="2"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vertical="center" wrapText="1"/>
    </xf>
    <xf numFmtId="0" fontId="3" fillId="0" borderId="38" xfId="0" applyFont="1" applyBorder="1" applyAlignment="1">
      <alignment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3" fillId="0" borderId="2" xfId="0" applyFont="1" applyBorder="1" applyAlignment="1">
      <alignment horizontal="center" vertical="top" wrapText="1"/>
    </xf>
    <xf numFmtId="0" fontId="3" fillId="0" borderId="42" xfId="0" applyFont="1" applyBorder="1" applyAlignment="1">
      <alignment vertical="center" wrapText="1"/>
    </xf>
    <xf numFmtId="0" fontId="3" fillId="0" borderId="41" xfId="0" applyFont="1" applyBorder="1" applyAlignment="1">
      <alignment horizontal="center" vertical="center" wrapText="1"/>
    </xf>
    <xf numFmtId="0" fontId="3" fillId="0" borderId="3" xfId="0" applyFont="1" applyBorder="1" applyAlignment="1">
      <alignment horizontal="center" vertical="center" wrapText="1"/>
    </xf>
    <xf numFmtId="0" fontId="3" fillId="0" borderId="3" xfId="0" applyFont="1" applyBorder="1" applyAlignment="1">
      <alignment horizontal="center" vertical="top" wrapText="1"/>
    </xf>
    <xf numFmtId="0" fontId="2" fillId="14" borderId="27" xfId="0" applyFont="1" applyFill="1" applyBorder="1" applyAlignment="1">
      <alignment vertical="top" wrapText="1"/>
    </xf>
    <xf numFmtId="0" fontId="2" fillId="14" borderId="26" xfId="0" applyFont="1" applyFill="1" applyBorder="1" applyAlignment="1">
      <alignment vertical="top" wrapText="1"/>
    </xf>
    <xf numFmtId="0" fontId="2" fillId="14" borderId="25" xfId="0" applyFont="1" applyFill="1" applyBorder="1" applyAlignment="1">
      <alignment vertical="top" wrapText="1"/>
    </xf>
    <xf numFmtId="0" fontId="3" fillId="0" borderId="37" xfId="0" applyFont="1" applyBorder="1" applyAlignment="1">
      <alignment vertical="top" wrapText="1"/>
    </xf>
    <xf numFmtId="0" fontId="3" fillId="0" borderId="37" xfId="0" applyFont="1" applyBorder="1" applyAlignment="1">
      <alignment horizontal="center" vertical="top" wrapText="1"/>
    </xf>
    <xf numFmtId="0" fontId="2" fillId="8" borderId="22" xfId="0" applyFont="1" applyFill="1" applyBorder="1" applyAlignment="1">
      <alignment vertical="center" wrapText="1"/>
    </xf>
    <xf numFmtId="0" fontId="2" fillId="8" borderId="21" xfId="0" applyFont="1" applyFill="1" applyBorder="1" applyAlignment="1">
      <alignment vertical="center" wrapText="1"/>
    </xf>
    <xf numFmtId="0" fontId="2" fillId="8" borderId="20" xfId="0" applyFont="1" applyFill="1" applyBorder="1" applyAlignment="1">
      <alignment vertical="center" wrapText="1"/>
    </xf>
    <xf numFmtId="0" fontId="3" fillId="0" borderId="0" xfId="0" applyFont="1" applyBorder="1" applyAlignment="1">
      <alignment vertical="top" wrapText="1"/>
    </xf>
    <xf numFmtId="0" fontId="15" fillId="0" borderId="2" xfId="14" applyFont="1" applyBorder="1" applyAlignment="1">
      <alignment vertical="top" wrapText="1"/>
    </xf>
    <xf numFmtId="0" fontId="15" fillId="0" borderId="0" xfId="0" applyFont="1" applyBorder="1" applyAlignment="1">
      <alignment vertical="top" wrapText="1"/>
    </xf>
    <xf numFmtId="0" fontId="15" fillId="0" borderId="2" xfId="0" quotePrefix="1" applyFont="1" applyBorder="1" applyAlignment="1">
      <alignment vertical="top" wrapText="1"/>
    </xf>
    <xf numFmtId="0" fontId="15" fillId="0" borderId="72" xfId="0" applyFont="1" applyBorder="1" applyAlignment="1">
      <alignment vertical="top" wrapText="1"/>
    </xf>
    <xf numFmtId="0" fontId="15" fillId="0" borderId="73" xfId="0" applyFont="1" applyBorder="1" applyAlignment="1">
      <alignment vertical="top" wrapText="1"/>
    </xf>
    <xf numFmtId="0" fontId="15" fillId="0" borderId="74" xfId="0" applyFont="1" applyBorder="1" applyAlignment="1">
      <alignment vertical="top" wrapText="1"/>
    </xf>
    <xf numFmtId="0" fontId="15" fillId="0" borderId="75" xfId="0" applyFont="1" applyBorder="1" applyAlignment="1">
      <alignment vertical="top" wrapText="1"/>
    </xf>
    <xf numFmtId="0" fontId="15" fillId="0" borderId="76" xfId="0" applyFont="1" applyBorder="1" applyAlignment="1">
      <alignment vertical="top" wrapText="1"/>
    </xf>
    <xf numFmtId="0" fontId="15" fillId="0" borderId="77" xfId="0" applyFont="1" applyBorder="1" applyAlignment="1">
      <alignment vertical="top" wrapText="1"/>
    </xf>
    <xf numFmtId="0" fontId="3" fillId="0" borderId="0" xfId="0" applyFont="1" applyAlignment="1">
      <alignment wrapText="1"/>
    </xf>
    <xf numFmtId="0" fontId="3" fillId="0" borderId="0" xfId="0" applyFont="1" applyAlignment="1">
      <alignment horizontal="left"/>
    </xf>
    <xf numFmtId="0" fontId="15" fillId="0" borderId="2" xfId="14" applyFont="1" applyBorder="1" applyAlignment="1">
      <alignment horizontal="center" vertical="top" wrapText="1"/>
    </xf>
    <xf numFmtId="0" fontId="15" fillId="0" borderId="2" xfId="0" applyFont="1" applyBorder="1" applyAlignment="1">
      <alignment horizontal="center" vertical="top" wrapText="1"/>
    </xf>
    <xf numFmtId="0" fontId="15" fillId="0" borderId="74" xfId="0" applyFont="1" applyBorder="1" applyAlignment="1">
      <alignment horizontal="center" vertical="top" wrapText="1"/>
    </xf>
    <xf numFmtId="0" fontId="15" fillId="0" borderId="37" xfId="0" applyFont="1" applyBorder="1" applyAlignment="1">
      <alignment horizontal="center" vertical="top" wrapText="1"/>
    </xf>
    <xf numFmtId="0" fontId="15" fillId="0" borderId="73" xfId="0" applyFont="1" applyBorder="1" applyAlignment="1">
      <alignment horizontal="center" vertical="top" wrapText="1"/>
    </xf>
    <xf numFmtId="0" fontId="15" fillId="0" borderId="76" xfId="0" applyFont="1" applyBorder="1" applyAlignment="1">
      <alignment horizontal="center" vertical="top" wrapText="1"/>
    </xf>
    <xf numFmtId="0" fontId="15" fillId="0" borderId="77" xfId="0" applyFont="1" applyBorder="1" applyAlignment="1">
      <alignment horizontal="center" vertical="top" wrapText="1"/>
    </xf>
    <xf numFmtId="0" fontId="4" fillId="0" borderId="0" xfId="0" applyFont="1" applyBorder="1"/>
    <xf numFmtId="0" fontId="4" fillId="0" borderId="0" xfId="0" applyFont="1" applyBorder="1" applyAlignment="1">
      <alignment horizontal="center"/>
    </xf>
    <xf numFmtId="0" fontId="15" fillId="0" borderId="74" xfId="0" applyFont="1" applyBorder="1" applyAlignment="1">
      <alignment horizontal="center"/>
    </xf>
    <xf numFmtId="0" fontId="3" fillId="0" borderId="74" xfId="0" applyFont="1" applyBorder="1" applyAlignment="1">
      <alignment vertical="top" wrapText="1"/>
    </xf>
    <xf numFmtId="0" fontId="2" fillId="8" borderId="0" xfId="0" applyFont="1" applyFill="1" applyBorder="1"/>
    <xf numFmtId="0" fontId="3" fillId="0" borderId="74" xfId="0" applyFont="1" applyBorder="1"/>
    <xf numFmtId="0" fontId="25" fillId="0" borderId="74" xfId="14" applyFont="1" applyBorder="1" applyAlignment="1">
      <alignment vertical="top" wrapText="1"/>
    </xf>
    <xf numFmtId="0" fontId="3" fillId="0" borderId="0" xfId="0" applyFont="1" applyBorder="1"/>
    <xf numFmtId="0" fontId="2" fillId="8" borderId="0" xfId="0" applyFont="1" applyFill="1" applyBorder="1" applyAlignment="1">
      <alignment horizontal="left"/>
    </xf>
    <xf numFmtId="0" fontId="3" fillId="8" borderId="0" xfId="0" applyFont="1" applyFill="1" applyBorder="1"/>
    <xf numFmtId="0" fontId="2" fillId="0" borderId="0" xfId="0" applyFont="1" applyBorder="1" applyAlignment="1">
      <alignment vertical="top" wrapText="1"/>
    </xf>
    <xf numFmtId="0" fontId="25" fillId="0" borderId="0" xfId="14" applyFont="1" applyBorder="1" applyAlignment="1">
      <alignment vertical="top" wrapText="1"/>
    </xf>
    <xf numFmtId="0" fontId="3" fillId="0" borderId="2" xfId="0" applyFont="1" applyBorder="1"/>
    <xf numFmtId="0" fontId="3" fillId="0" borderId="75" xfId="0" applyFont="1" applyBorder="1"/>
    <xf numFmtId="0" fontId="3" fillId="0" borderId="37" xfId="0" applyFont="1" applyBorder="1"/>
    <xf numFmtId="0" fontId="3" fillId="0" borderId="72" xfId="0" applyFont="1" applyBorder="1"/>
    <xf numFmtId="0" fontId="3" fillId="0" borderId="77" xfId="0" applyFont="1" applyBorder="1"/>
    <xf numFmtId="0" fontId="2" fillId="5" borderId="49" xfId="1" applyFont="1" applyFill="1" applyBorder="1" applyAlignment="1">
      <alignment vertical="top" wrapText="1"/>
    </xf>
    <xf numFmtId="0" fontId="2" fillId="5" borderId="25" xfId="1" applyFont="1" applyFill="1" applyBorder="1" applyAlignment="1">
      <alignment vertical="top" wrapText="1"/>
    </xf>
    <xf numFmtId="0" fontId="3" fillId="0" borderId="53" xfId="1" applyFont="1" applyBorder="1" applyAlignment="1">
      <alignment horizontal="center" vertical="top" wrapText="1"/>
    </xf>
    <xf numFmtId="0" fontId="3" fillId="0" borderId="55" xfId="1" applyFont="1" applyBorder="1" applyAlignment="1">
      <alignment horizontal="center" vertical="top" wrapText="1"/>
    </xf>
    <xf numFmtId="0" fontId="2" fillId="5" borderId="50" xfId="1" applyFont="1" applyFill="1" applyBorder="1" applyAlignment="1">
      <alignment vertical="top" wrapText="1"/>
    </xf>
    <xf numFmtId="0" fontId="2" fillId="5" borderId="27" xfId="1" applyFont="1" applyFill="1" applyBorder="1" applyAlignment="1">
      <alignment vertical="top" wrapText="1"/>
    </xf>
    <xf numFmtId="0" fontId="2" fillId="5" borderId="8" xfId="1" applyFont="1" applyFill="1" applyBorder="1" applyAlignment="1">
      <alignment vertical="top" wrapText="1"/>
    </xf>
    <xf numFmtId="0" fontId="2" fillId="5" borderId="26" xfId="1" applyFont="1" applyFill="1" applyBorder="1" applyAlignment="1">
      <alignment vertical="top" wrapText="1"/>
    </xf>
    <xf numFmtId="0" fontId="2" fillId="5" borderId="53" xfId="1" applyFont="1" applyFill="1" applyBorder="1" applyAlignment="1">
      <alignment horizontal="center" vertical="top" wrapText="1"/>
    </xf>
    <xf numFmtId="0" fontId="2" fillId="5" borderId="54" xfId="1" applyFont="1" applyFill="1" applyBorder="1" applyAlignment="1">
      <alignment horizontal="center" vertical="top" wrapText="1"/>
    </xf>
    <xf numFmtId="0" fontId="2" fillId="5" borderId="55" xfId="1" applyFont="1" applyFill="1" applyBorder="1" applyAlignment="1">
      <alignment horizontal="center" vertical="top" wrapText="1"/>
    </xf>
    <xf numFmtId="0" fontId="3" fillId="0" borderId="39" xfId="1" applyFont="1" applyBorder="1" applyAlignment="1">
      <alignment horizontal="center" vertical="top" wrapText="1"/>
    </xf>
    <xf numFmtId="0" fontId="3" fillId="0" borderId="40" xfId="1" applyFont="1" applyBorder="1" applyAlignment="1">
      <alignment horizontal="center" vertical="top" wrapText="1"/>
    </xf>
    <xf numFmtId="0" fontId="2" fillId="5" borderId="3" xfId="1" applyFont="1" applyFill="1" applyBorder="1" applyAlignment="1">
      <alignment vertical="top" wrapText="1"/>
    </xf>
    <xf numFmtId="0" fontId="3" fillId="0" borderId="56" xfId="1" applyFont="1" applyBorder="1" applyAlignment="1">
      <alignment horizontal="center" vertical="top" wrapText="1"/>
    </xf>
    <xf numFmtId="0" fontId="2" fillId="5" borderId="8" xfId="1" applyFont="1" applyFill="1" applyBorder="1" applyAlignment="1">
      <alignment vertical="top"/>
    </xf>
    <xf numFmtId="0" fontId="2" fillId="5" borderId="26" xfId="1" applyFont="1" applyFill="1" applyBorder="1" applyAlignment="1">
      <alignment vertical="top"/>
    </xf>
    <xf numFmtId="0" fontId="1" fillId="0" borderId="0" xfId="1" applyAlignment="1">
      <alignment horizontal="left" vertical="top" wrapText="1"/>
    </xf>
    <xf numFmtId="0" fontId="2" fillId="0" borderId="0" xfId="0" applyFont="1" applyBorder="1" applyAlignment="1">
      <alignment horizontal="center"/>
    </xf>
    <xf numFmtId="0" fontId="3" fillId="7" borderId="1" xfId="0" applyFont="1" applyFill="1" applyBorder="1" applyAlignment="1">
      <alignment horizontal="center" vertical="top"/>
    </xf>
    <xf numFmtId="0" fontId="2" fillId="0" borderId="0" xfId="0" applyFont="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2" fillId="0" borderId="16" xfId="0" applyFont="1" applyBorder="1" applyAlignment="1">
      <alignment horizontal="center"/>
    </xf>
    <xf numFmtId="0" fontId="3" fillId="7" borderId="24" xfId="0" applyFont="1" applyFill="1" applyBorder="1" applyAlignment="1">
      <alignment horizontal="left" vertical="top"/>
    </xf>
    <xf numFmtId="0" fontId="3" fillId="7" borderId="23" xfId="0" applyFont="1" applyFill="1" applyBorder="1" applyAlignment="1">
      <alignment horizontal="left" vertical="top"/>
    </xf>
    <xf numFmtId="0" fontId="2" fillId="7" borderId="0" xfId="0" applyFont="1" applyFill="1" applyBorder="1" applyAlignment="1">
      <alignment horizontal="center"/>
    </xf>
    <xf numFmtId="0" fontId="2" fillId="7" borderId="29" xfId="0" applyFont="1" applyFill="1" applyBorder="1" applyAlignment="1">
      <alignment horizontal="center"/>
    </xf>
    <xf numFmtId="0" fontId="3" fillId="8" borderId="32" xfId="0" applyFont="1" applyFill="1" applyBorder="1" applyAlignment="1">
      <alignment horizontal="center" wrapText="1"/>
    </xf>
    <xf numFmtId="0" fontId="3" fillId="8" borderId="18" xfId="0" applyFont="1" applyFill="1" applyBorder="1" applyAlignment="1">
      <alignment horizontal="center"/>
    </xf>
    <xf numFmtId="0" fontId="3" fillId="8" borderId="31" xfId="0" applyFont="1" applyFill="1" applyBorder="1" applyAlignment="1">
      <alignment horizontal="center"/>
    </xf>
    <xf numFmtId="0" fontId="2" fillId="8" borderId="32" xfId="0" applyFont="1" applyFill="1" applyBorder="1" applyAlignment="1">
      <alignment horizontal="center"/>
    </xf>
    <xf numFmtId="0" fontId="2" fillId="8" borderId="31" xfId="0" applyFont="1" applyFill="1" applyBorder="1" applyAlignment="1">
      <alignment horizontal="center"/>
    </xf>
    <xf numFmtId="0" fontId="3" fillId="8" borderId="32" xfId="0" applyFont="1" applyFill="1" applyBorder="1" applyAlignment="1">
      <alignment horizontal="center" vertical="top" wrapText="1"/>
    </xf>
    <xf numFmtId="0" fontId="3" fillId="8" borderId="18" xfId="0" applyFont="1" applyFill="1" applyBorder="1" applyAlignment="1">
      <alignment horizontal="center" vertical="top"/>
    </xf>
    <xf numFmtId="0" fontId="3" fillId="8" borderId="31" xfId="0" applyFont="1" applyFill="1" applyBorder="1" applyAlignment="1">
      <alignment horizontal="center" vertical="top"/>
    </xf>
    <xf numFmtId="0" fontId="3" fillId="0" borderId="39" xfId="0" applyFont="1" applyBorder="1" applyAlignment="1">
      <alignment horizontal="center" vertical="center"/>
    </xf>
    <xf numFmtId="0" fontId="3" fillId="0" borderId="56" xfId="0" applyFont="1" applyBorder="1" applyAlignment="1">
      <alignment horizontal="center" vertical="center"/>
    </xf>
    <xf numFmtId="0" fontId="3" fillId="0" borderId="40" xfId="0" applyFont="1" applyBorder="1" applyAlignment="1">
      <alignment horizontal="center" vertical="center"/>
    </xf>
    <xf numFmtId="0" fontId="3" fillId="0" borderId="36" xfId="0" applyFont="1" applyBorder="1" applyAlignment="1">
      <alignment horizontal="left" vertical="top" wrapText="1"/>
    </xf>
    <xf numFmtId="0" fontId="3" fillId="0" borderId="59" xfId="0" applyFont="1" applyBorder="1" applyAlignment="1">
      <alignment horizontal="left" vertical="top" wrapText="1"/>
    </xf>
    <xf numFmtId="0" fontId="3" fillId="0" borderId="38" xfId="0" applyFont="1" applyBorder="1" applyAlignment="1">
      <alignment horizontal="left" vertical="top" wrapText="1"/>
    </xf>
    <xf numFmtId="0" fontId="3" fillId="0" borderId="57" xfId="0" applyFont="1" applyBorder="1" applyAlignment="1">
      <alignment horizontal="left" vertical="top" wrapText="1"/>
    </xf>
    <xf numFmtId="0" fontId="3" fillId="0" borderId="0" xfId="0" applyFont="1" applyBorder="1" applyAlignment="1">
      <alignment horizontal="left" vertical="top" wrapText="1"/>
    </xf>
    <xf numFmtId="0" fontId="3" fillId="0" borderId="58" xfId="0" applyFont="1" applyBorder="1" applyAlignment="1">
      <alignment horizontal="left" vertical="top" wrapText="1"/>
    </xf>
    <xf numFmtId="0" fontId="3" fillId="0" borderId="41" xfId="0" applyFont="1" applyBorder="1" applyAlignment="1">
      <alignment horizontal="left" vertical="top" wrapText="1"/>
    </xf>
    <xf numFmtId="0" fontId="3" fillId="0" borderId="43" xfId="0" applyFont="1" applyBorder="1" applyAlignment="1">
      <alignment horizontal="left" vertical="top" wrapText="1"/>
    </xf>
    <xf numFmtId="0" fontId="3" fillId="0" borderId="42" xfId="0" applyFont="1" applyBorder="1" applyAlignment="1">
      <alignment horizontal="left" vertical="top" wrapText="1"/>
    </xf>
    <xf numFmtId="0" fontId="3" fillId="0" borderId="0" xfId="0" applyFont="1" applyAlignment="1">
      <alignment horizontal="right"/>
    </xf>
    <xf numFmtId="0" fontId="3" fillId="0" borderId="0" xfId="0" applyFont="1" applyAlignment="1">
      <alignment horizontal="center" vertical="top"/>
    </xf>
    <xf numFmtId="0" fontId="2" fillId="0" borderId="0" xfId="0" applyFont="1" applyAlignment="1">
      <alignment horizontal="left" vertical="top"/>
    </xf>
    <xf numFmtId="0" fontId="3" fillId="0" borderId="0" xfId="0" applyFont="1" applyAlignment="1">
      <alignment horizontal="left" vertical="top"/>
    </xf>
    <xf numFmtId="0" fontId="3" fillId="0" borderId="0" xfId="0" applyFont="1" applyAlignment="1">
      <alignment horizontal="left" vertical="top" wrapText="1"/>
    </xf>
    <xf numFmtId="0" fontId="2" fillId="8" borderId="43" xfId="0" applyFont="1" applyFill="1" applyBorder="1" applyAlignment="1">
      <alignment horizontal="center"/>
    </xf>
  </cellXfs>
  <cellStyles count="15">
    <cellStyle name="Hyperlink" xfId="14" builtinId="8"/>
    <cellStyle name="Hyperlink 2" xfId="2"/>
    <cellStyle name="Hyperlink 3" xfId="3"/>
    <cellStyle name="Normal" xfId="0" builtinId="0"/>
    <cellStyle name="Normal 10" xfId="4"/>
    <cellStyle name="Normal 11" xfId="5"/>
    <cellStyle name="Normal 12" xfId="1"/>
    <cellStyle name="Normal 2" xfId="6"/>
    <cellStyle name="Normal 3" xfId="7"/>
    <cellStyle name="Normal 4" xfId="8"/>
    <cellStyle name="Normal 5" xfId="9"/>
    <cellStyle name="Normal 6" xfId="10"/>
    <cellStyle name="Normal 7" xfId="11"/>
    <cellStyle name="Normal 8" xfId="12"/>
    <cellStyle name="Normal 9" xfId="13"/>
  </cellStyles>
  <dxfs count="78">
    <dxf>
      <font>
        <strike val="0"/>
        <outline val="0"/>
        <shadow val="0"/>
        <u val="none"/>
        <vertAlign val="baseline"/>
        <sz val="12"/>
        <color theme="1"/>
        <name val="Times New Roman"/>
        <scheme val="none"/>
      </font>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color theme="1"/>
        <name val="Times New Roman"/>
        <scheme val="none"/>
      </font>
      <numFmt numFmtId="164" formatCode="&quot;Yes&quot;;&quot;Yes&quot;;&quot;No&quo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dxf>
    <dxf>
      <border>
        <bottom style="thin">
          <color indexed="64"/>
        </bottom>
      </border>
    </dxf>
    <dxf>
      <font>
        <b/>
        <i val="0"/>
        <strike val="0"/>
        <condense val="0"/>
        <extend val="0"/>
        <outline val="0"/>
        <shadow val="0"/>
        <u val="none"/>
        <vertAlign val="baseline"/>
        <sz val="12"/>
        <color theme="1"/>
        <name val="Times New Roman"/>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dxf>
    <dxf>
      <font>
        <strike val="0"/>
        <outline val="0"/>
        <shadow val="0"/>
        <sz val="12"/>
        <name val="Times New Roman"/>
        <scheme val="none"/>
      </font>
      <fill>
        <patternFill>
          <fgColor indexed="64"/>
          <bgColor theme="4" tint="0.79998168889431442"/>
        </patternFill>
      </fil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00"/>
        <name val="Times New Roman"/>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00"/>
        <name val="Times New Roman"/>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00"/>
        <name val="Times New Roman"/>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00"/>
        <name val="Times New Roman"/>
        <scheme val="none"/>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Times New Roman"/>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medium">
          <color indexed="64"/>
        </top>
        <bottom style="thin">
          <color indexed="64"/>
        </bottom>
      </border>
    </dxf>
    <dxf>
      <font>
        <b val="0"/>
        <i val="0"/>
        <strike val="0"/>
        <condense val="0"/>
        <extend val="0"/>
        <outline val="0"/>
        <shadow val="0"/>
        <u val="none"/>
        <vertAlign val="baseline"/>
        <sz val="12"/>
        <color theme="1"/>
        <name val="Times New Roman"/>
        <scheme val="none"/>
      </font>
      <alignment horizontal="center" vertical="top" textRotation="0" wrapText="1" indent="0" justifyLastLine="0" shrinkToFit="0" readingOrder="0"/>
    </dxf>
    <dxf>
      <border outline="0">
        <bottom style="medium">
          <color indexed="64"/>
        </bottom>
      </border>
    </dxf>
    <dxf>
      <font>
        <b/>
        <i val="0"/>
        <strike val="0"/>
        <condense val="0"/>
        <extend val="0"/>
        <outline val="0"/>
        <shadow val="0"/>
        <u val="none"/>
        <vertAlign val="baseline"/>
        <sz val="12"/>
        <color theme="1"/>
        <name val="Times New Roman"/>
        <scheme val="none"/>
      </font>
      <fill>
        <patternFill patternType="solid">
          <fgColor indexed="64"/>
          <bgColor rgb="FFDBE5F1"/>
        </patternFill>
      </fill>
      <alignment horizontal="general"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Times New Roman"/>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Times New Roman"/>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Times New Roman"/>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Times New Roman"/>
        <scheme val="none"/>
      </font>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bottom style="medium">
          <color indexed="64"/>
        </bottom>
      </border>
    </dxf>
    <dxf>
      <fill>
        <patternFill patternType="solid">
          <fgColor indexed="64"/>
          <bgColor theme="4" tint="0.7999816888943144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Times New Roman"/>
        <scheme val="none"/>
      </font>
      <alignment horizontal="general" vertical="top"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ertAlign val="baseline"/>
        <sz val="12"/>
        <color theme="10"/>
        <name val="Times New Roman"/>
        <scheme val="none"/>
      </font>
      <alignment horizontal="general"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ertAlign val="baseline"/>
        <sz val="12"/>
        <color theme="10"/>
        <name val="Times New Roman"/>
        <scheme val="none"/>
      </font>
      <alignment horizontal="general" vertical="top"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general" vertical="top" textRotation="0" wrapText="1" indent="0" justifyLastLine="0" shrinkToFit="0" readingOrder="0"/>
    </dxf>
    <dxf>
      <border>
        <bottom style="medium">
          <color indexed="64"/>
        </bottom>
      </border>
    </dxf>
    <dxf>
      <font>
        <b/>
        <i val="0"/>
        <strike val="0"/>
        <condense val="0"/>
        <extend val="0"/>
        <outline val="0"/>
        <shadow val="0"/>
        <u val="none"/>
        <vertAlign val="baseline"/>
        <sz val="12"/>
        <color theme="1"/>
        <name val="Times New Roman"/>
        <scheme val="none"/>
      </font>
      <fill>
        <patternFill patternType="solid">
          <fgColor indexed="64"/>
          <bgColor rgb="FFDBE5F1"/>
        </patternFill>
      </fill>
      <alignment horizontal="general" vertical="top" textRotation="0" wrapText="1" indent="0" justifyLastLine="0" shrinkToFit="0" readingOrder="0"/>
      <border diagonalUp="0" diagonalDown="0">
        <left style="thin">
          <color rgb="FF000000"/>
        </left>
        <right style="thin">
          <color rgb="FF000000"/>
        </right>
        <top/>
        <bottom/>
        <vertical style="thin">
          <color rgb="FF000000"/>
        </vertical>
        <horizontal/>
      </border>
    </dxf>
    <dxf>
      <font>
        <b val="0"/>
        <i val="0"/>
        <strike val="0"/>
        <condense val="0"/>
        <extend val="0"/>
        <outline val="0"/>
        <shadow val="0"/>
        <u val="none"/>
        <vertAlign val="baseline"/>
        <sz val="12"/>
        <color auto="1"/>
        <name val="Times New Roman"/>
        <scheme val="none"/>
      </font>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center"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auto="1"/>
        <name val="Times New Roman"/>
        <scheme val="none"/>
      </font>
      <fill>
        <patternFill patternType="solid">
          <fgColor indexed="64"/>
          <bgColor rgb="FFDBE5F1"/>
        </patternFill>
      </fill>
      <alignment horizontal="general"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alignment horizontal="general" vertical="top" textRotation="0" wrapText="1" indent="0" justifyLastLine="0" shrinkToFit="0" readingOrder="0"/>
      <border diagonalUp="0" diagonalDown="0" outline="0">
        <left style="thin">
          <color indexed="64"/>
        </left>
        <right style="thin">
          <color auto="1"/>
        </right>
        <top style="thin">
          <color auto="1"/>
        </top>
        <bottom style="thin">
          <color auto="1"/>
        </bottom>
      </border>
    </dxf>
    <dxf>
      <font>
        <b val="0"/>
        <i val="0"/>
        <strike val="0"/>
        <condense val="0"/>
        <extend val="0"/>
        <outline val="0"/>
        <shadow val="0"/>
        <u val="none"/>
        <vertAlign val="baseline"/>
        <sz val="12"/>
        <color auto="1"/>
        <name val="Times New Roman"/>
        <scheme val="none"/>
      </font>
      <alignment horizontal="center"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auto="1"/>
        <name val="Times New Roman"/>
        <scheme val="none"/>
      </font>
      <alignment horizontal="general" vertical="top" textRotation="0" wrapText="1" indent="0" justifyLastLine="0" shrinkToFit="0" readingOrder="0"/>
      <border diagonalUp="0" diagonalDown="0" outline="0">
        <left style="thin">
          <color auto="1"/>
        </left>
        <right style="thin">
          <color indexed="64"/>
        </right>
        <top style="thin">
          <color auto="1"/>
        </top>
        <bottom style="thin">
          <color auto="1"/>
        </bottom>
      </border>
    </dxf>
    <dxf>
      <font>
        <b val="0"/>
        <i val="0"/>
        <strike val="0"/>
        <condense val="0"/>
        <extend val="0"/>
        <outline val="0"/>
        <shadow val="0"/>
        <u val="none"/>
        <vertAlign val="baseline"/>
        <sz val="12"/>
        <color auto="1"/>
        <name val="Times New Roman"/>
        <scheme val="none"/>
      </font>
      <alignment horizontal="general" vertical="top" textRotation="0" wrapText="1" indent="0" justifyLastLine="0" shrinkToFit="0" readingOrder="0"/>
      <border diagonalUp="0" diagonalDown="0" outline="0">
        <left style="thin">
          <color indexed="64"/>
        </left>
        <right style="thin">
          <color auto="1"/>
        </right>
        <top style="thin">
          <color auto="1"/>
        </top>
        <bottom style="thin">
          <color auto="1"/>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auto="1"/>
        <name val="Times New Roman"/>
        <scheme val="none"/>
      </font>
      <alignment horizontal="general" vertical="top" textRotation="0" wrapText="1" indent="0" justifyLastLine="0" shrinkToFit="0" readingOrder="0"/>
    </dxf>
    <dxf>
      <border outline="0">
        <bottom style="thin">
          <color indexed="64"/>
        </bottom>
      </border>
    </dxf>
    <dxf>
      <font>
        <strike val="0"/>
        <outline val="0"/>
        <shadow val="0"/>
        <u val="none"/>
        <vertAlign val="baseline"/>
        <sz val="12"/>
        <name val="Times New Roman"/>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Times New Roman"/>
        <scheme val="none"/>
      </font>
      <alignment horizontal="left" vertical="top"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2"/>
        <color theme="1"/>
        <name val="Times New Roman"/>
        <scheme val="none"/>
      </font>
      <alignment horizontal="left"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strike val="0"/>
        <condense val="0"/>
        <extend val="0"/>
        <outline val="0"/>
        <shadow val="0"/>
        <u val="none"/>
        <vertAlign val="baseline"/>
        <sz val="12"/>
        <color theme="1"/>
        <name val="Times New Roman"/>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sz val="12"/>
        <name val="Times New Roman"/>
        <scheme val="none"/>
      </font>
      <alignment horizontal="general" vertical="top"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strike val="0"/>
        <outline val="0"/>
        <shadow val="0"/>
        <sz val="12"/>
        <name val="Times New Roman"/>
        <scheme val="none"/>
      </font>
    </dxf>
    <dxf>
      <border>
        <bottom style="medium">
          <color indexed="64"/>
        </bottom>
      </border>
    </dxf>
    <dxf>
      <font>
        <b/>
        <i val="0"/>
        <strike val="0"/>
        <condense val="0"/>
        <extend val="0"/>
        <outline val="0"/>
        <shadow val="0"/>
        <u val="none"/>
        <vertAlign val="baseline"/>
        <sz val="12"/>
        <color theme="1"/>
        <name val="Times New Roman"/>
        <scheme val="none"/>
      </font>
      <fill>
        <patternFill patternType="solid">
          <fgColor indexed="64"/>
          <bgColor rgb="FFDBE5F1"/>
        </patternFill>
      </fill>
      <alignment horizontal="general" vertical="top"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gif"/><Relationship Id="rId5" Type="http://schemas.openxmlformats.org/officeDocument/2006/relationships/image" Target="../media/image5.gif"/><Relationship Id="rId4"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0</xdr:rowOff>
    </xdr:from>
    <xdr:to>
      <xdr:col>1</xdr:col>
      <xdr:colOff>57150</xdr:colOff>
      <xdr:row>9</xdr:row>
      <xdr:rowOff>85725</xdr:rowOff>
    </xdr:to>
    <xdr:pic>
      <xdr:nvPicPr>
        <xdr:cNvPr id="2" name="Picture 21" descr="http://whatis.techtarget.com/WhatIs/images/lambda-lc.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6286500"/>
          <a:ext cx="57150"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10</xdr:row>
      <xdr:rowOff>0</xdr:rowOff>
    </xdr:from>
    <xdr:to>
      <xdr:col>1</xdr:col>
      <xdr:colOff>57150</xdr:colOff>
      <xdr:row>10</xdr:row>
      <xdr:rowOff>85725</xdr:rowOff>
    </xdr:to>
    <xdr:pic>
      <xdr:nvPicPr>
        <xdr:cNvPr id="3" name="Picture 20" descr="http://whatis.techtarget.com/WhatIs/images/lambda-lc.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124700"/>
          <a:ext cx="57150"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11</xdr:row>
      <xdr:rowOff>0</xdr:rowOff>
    </xdr:from>
    <xdr:to>
      <xdr:col>1</xdr:col>
      <xdr:colOff>57150</xdr:colOff>
      <xdr:row>11</xdr:row>
      <xdr:rowOff>85725</xdr:rowOff>
    </xdr:to>
    <xdr:pic>
      <xdr:nvPicPr>
        <xdr:cNvPr id="4" name="Picture 19" descr="http://whatis.techtarget.com/WhatIs/images/lambda-lc.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962900"/>
          <a:ext cx="57150"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18</xdr:row>
      <xdr:rowOff>0</xdr:rowOff>
    </xdr:from>
    <xdr:to>
      <xdr:col>1</xdr:col>
      <xdr:colOff>57150</xdr:colOff>
      <xdr:row>18</xdr:row>
      <xdr:rowOff>95250</xdr:rowOff>
    </xdr:to>
    <xdr:pic>
      <xdr:nvPicPr>
        <xdr:cNvPr id="5" name="Picture 18" descr="http://whatis.techtarget.com/WhatIs/images/gamma-lc.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13192125"/>
          <a:ext cx="571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20</xdr:row>
      <xdr:rowOff>0</xdr:rowOff>
    </xdr:from>
    <xdr:to>
      <xdr:col>1</xdr:col>
      <xdr:colOff>85725</xdr:colOff>
      <xdr:row>20</xdr:row>
      <xdr:rowOff>66675</xdr:rowOff>
    </xdr:to>
    <xdr:pic>
      <xdr:nvPicPr>
        <xdr:cNvPr id="6" name="Picture 17" descr="http://whatis.techtarget.com/WhatIs/images/alpha-lc.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14611350"/>
          <a:ext cx="85725" cy="66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33</xdr:row>
      <xdr:rowOff>0</xdr:rowOff>
    </xdr:from>
    <xdr:to>
      <xdr:col>1</xdr:col>
      <xdr:colOff>66675</xdr:colOff>
      <xdr:row>33</xdr:row>
      <xdr:rowOff>66675</xdr:rowOff>
    </xdr:to>
    <xdr:pic>
      <xdr:nvPicPr>
        <xdr:cNvPr id="7" name="Picture 16" descr="http://whatis.techtarget.com/WhatIs/images/permitfs.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 y="25441275"/>
          <a:ext cx="66675" cy="66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34</xdr:row>
      <xdr:rowOff>0</xdr:rowOff>
    </xdr:from>
    <xdr:to>
      <xdr:col>1</xdr:col>
      <xdr:colOff>76200</xdr:colOff>
      <xdr:row>34</xdr:row>
      <xdr:rowOff>85725</xdr:rowOff>
    </xdr:to>
    <xdr:pic>
      <xdr:nvPicPr>
        <xdr:cNvPr id="8" name="Picture 15" descr="http://whatis.techtarget.com/WhatIs/images/pi-lc.gif"/>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9600" y="26279475"/>
          <a:ext cx="76200"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42</xdr:row>
      <xdr:rowOff>0</xdr:rowOff>
    </xdr:from>
    <xdr:to>
      <xdr:col>1</xdr:col>
      <xdr:colOff>95250</xdr:colOff>
      <xdr:row>42</xdr:row>
      <xdr:rowOff>66675</xdr:rowOff>
    </xdr:to>
    <xdr:pic>
      <xdr:nvPicPr>
        <xdr:cNvPr id="9" name="Picture 14" descr="http://whatis.techtarget.com/WhatIs/images/sigma-lc.gif"/>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600" y="31870650"/>
          <a:ext cx="95250" cy="66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45</xdr:row>
      <xdr:rowOff>0</xdr:rowOff>
    </xdr:from>
    <xdr:to>
      <xdr:col>1</xdr:col>
      <xdr:colOff>95250</xdr:colOff>
      <xdr:row>45</xdr:row>
      <xdr:rowOff>66675</xdr:rowOff>
    </xdr:to>
    <xdr:pic>
      <xdr:nvPicPr>
        <xdr:cNvPr id="10" name="Picture 13" descr="http://whatis.techtarget.com/WhatIs/images/sigma-lc.gif"/>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600" y="35185350"/>
          <a:ext cx="95250" cy="66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myers/Documents/01%20-%20Personal/00%20-%20ATQ.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ess List"/>
      <sheetName val="Alterations"/>
      <sheetName val="Aproximate pi"/>
      <sheetName val="BMI - Weight"/>
      <sheetName val="Calendar"/>
      <sheetName val="TimeSheet"/>
      <sheetName val="Dates"/>
      <sheetName val="Drop Lists"/>
      <sheetName val="Elements"/>
      <sheetName val="Employement Dates"/>
      <sheetName val="Excel Examples"/>
      <sheetName val="Filtering Macro"/>
      <sheetName val="Foreign Phrases"/>
      <sheetName val="Forms"/>
      <sheetName val="Formulas&amp;Conversions"/>
      <sheetName val="Kitsap Transit"/>
      <sheetName val="Legistlation"/>
      <sheetName val="Month"/>
      <sheetName val="Months"/>
      <sheetName val="Network Protocols"/>
      <sheetName val="Number Series Play"/>
      <sheetName val="Fibonacci"/>
      <sheetName val="PMT Rate What-If"/>
      <sheetName val="POCs"/>
      <sheetName val="Project+"/>
      <sheetName val="Quotes"/>
      <sheetName val="Cited"/>
      <sheetName val="States"/>
      <sheetName val="VA Notes"/>
      <sheetName val="Notes"/>
      <sheetName val="00 - ATQ"/>
    </sheetNames>
    <sheetDataSet>
      <sheetData sheetId="0"/>
      <sheetData sheetId="1"/>
      <sheetData sheetId="2"/>
      <sheetData sheetId="3"/>
      <sheetData sheetId="4">
        <row r="15">
          <cell r="H15">
            <v>6</v>
          </cell>
        </row>
      </sheetData>
      <sheetData sheetId="5">
        <row r="5">
          <cell r="D5">
            <v>42786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Set>
  </externalBook>
</externalLink>
</file>

<file path=xl/tables/table1.xml><?xml version="1.0" encoding="utf-8"?>
<table xmlns="http://schemas.openxmlformats.org/spreadsheetml/2006/main" id="7" name="Table7" displayName="Table7" ref="A2:D46" totalsRowShown="0" headerRowDxfId="77" dataDxfId="75" headerRowBorderDxfId="76" tableBorderDxfId="74">
  <autoFilter ref="A2:D46"/>
  <tableColumns count="4">
    <tableColumn id="1" name="Quantity or phenomenon" dataDxfId="73" dataCellStyle="Hyperlink"/>
    <tableColumn id="2" name="Symbol" dataDxfId="72"/>
    <tableColumn id="3" name="SI unit value" dataDxfId="71"/>
    <tableColumn id="4" name="Alternate unit value" dataDxfId="7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A1:D265" totalsRowShown="0" headerRowDxfId="66" dataDxfId="64" headerRowBorderDxfId="65" tableBorderDxfId="63">
  <autoFilter ref="A1:D265"/>
  <sortState ref="A2:D265">
    <sortCondition ref="A217"/>
  </sortState>
  <tableColumns count="4">
    <tableColumn id="1" name="Extension" dataDxfId="62"/>
    <tableColumn id="2" name="Description" dataDxfId="61"/>
    <tableColumn id="5" name="Macros" dataDxfId="60"/>
    <tableColumn id="3" name="Notes" dataDxfId="59"/>
  </tableColumns>
  <tableStyleInfo name="TableStyleLight1" showFirstColumn="0" showLastColumn="0" showRowStripes="1" showColumnStripes="0"/>
</table>
</file>

<file path=xl/tables/table3.xml><?xml version="1.0" encoding="utf-8"?>
<table xmlns="http://schemas.openxmlformats.org/spreadsheetml/2006/main" id="4" name="Table4" displayName="Table4" ref="A1:C105" totalsRowShown="0" headerRowDxfId="58" headerRowBorderDxfId="57" tableBorderDxfId="56" totalsRowBorderDxfId="55">
  <autoFilter ref="A1:C105"/>
  <tableColumns count="3">
    <tableColumn id="1" name="Letter" dataDxfId="54"/>
    <tableColumn id="2" name="Description" dataDxfId="53"/>
    <tableColumn id="3" name="Usage" dataDxfId="5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2:C57" totalsRowShown="0" headerRowDxfId="51" dataDxfId="49" headerRowBorderDxfId="50" tableBorderDxfId="48" totalsRowBorderDxfId="47">
  <autoFilter ref="A2:C57"/>
  <tableColumns count="3">
    <tableColumn id="1" name="Quantity or phenomenon (and symbol) " dataDxfId="46" dataCellStyle="Hyperlink"/>
    <tableColumn id="2" name="Standard International unit (and symbol) " dataDxfId="45" dataCellStyle="Hyperlink"/>
    <tableColumn id="3" name="Alternate units (and symbols) " dataDxfId="44"/>
  </tableColumns>
  <tableStyleInfo name="TableStyleLight1" showFirstColumn="0" showLastColumn="0" showRowStripes="1" showColumnStripes="0"/>
</table>
</file>

<file path=xl/tables/table5.xml><?xml version="1.0" encoding="utf-8"?>
<table xmlns="http://schemas.openxmlformats.org/spreadsheetml/2006/main" id="8" name="Table8" displayName="Table8" ref="A1:D22" totalsRowShown="0" headerRowDxfId="43" headerRowBorderDxfId="42" tableBorderDxfId="41">
  <autoFilter ref="A1:D22"/>
  <tableColumns count="4">
    <tableColumn id="1" name="Prefix " dataDxfId="40"/>
    <tableColumn id="2" name="Symbol(S) " dataDxfId="39"/>
    <tableColumn id="3" name="Decimal " dataDxfId="38"/>
    <tableColumn id="4" name="Binary" dataDxfId="37"/>
  </tableColumns>
  <tableStyleInfo name="TableStyleLight1" showFirstColumn="0" showLastColumn="0" showRowStripes="1" showColumnStripes="0"/>
</table>
</file>

<file path=xl/tables/table6.xml><?xml version="1.0" encoding="utf-8"?>
<table xmlns="http://schemas.openxmlformats.org/spreadsheetml/2006/main" id="9" name="Table10" displayName="Table10" ref="F1:I7" totalsRowShown="0" headerRowDxfId="36" dataDxfId="34" headerRowBorderDxfId="35" tableBorderDxfId="33">
  <autoFilter ref="F1:I7"/>
  <tableColumns count="4">
    <tableColumn id="1" name="Full technical name" dataDxfId="32"/>
    <tableColumn id="2" name="Proposed prefix" dataDxfId="31"/>
    <tableColumn id="3" name="Proposed symbol" dataDxfId="30"/>
    <tableColumn id="4" name="Numeric multiplier" dataDxfId="29"/>
  </tableColumns>
  <tableStyleInfo name="TableStyleLight1" showFirstColumn="0" showLastColumn="0" showRowStripes="1" showColumnStripes="0"/>
</table>
</file>

<file path=xl/tables/table7.xml><?xml version="1.0" encoding="utf-8"?>
<table xmlns="http://schemas.openxmlformats.org/spreadsheetml/2006/main" id="2" name="Table2" displayName="Table2" ref="A1:H52" totalsRowShown="0" headerRowDxfId="28" headerRowBorderDxfId="27" tableBorderDxfId="26" totalsRowBorderDxfId="25">
  <autoFilter ref="A1:H52"/>
  <sortState ref="A2:H52">
    <sortCondition ref="D2:D52"/>
    <sortCondition ref="A2:A52"/>
  </sortState>
  <tableColumns count="8">
    <tableColumn id="1" name="Operator " dataDxfId="24"/>
    <tableColumn id="2" name="Meaning " dataDxfId="23"/>
    <tableColumn id="3" name="Type" dataDxfId="22"/>
    <tableColumn id="4" name="Precedence" dataDxfId="21"/>
    <tableColumn id="5" name="Access" dataDxfId="20"/>
    <tableColumn id="6" name="Excel" dataDxfId="19"/>
    <tableColumn id="7" name="SQL" dataDxfId="18"/>
    <tableColumn id="8" name="VBA" dataDxfId="17"/>
  </tableColumns>
  <tableStyleInfo name="TableStyleLight1" showFirstColumn="0" showLastColumn="0" showRowStripes="1" showColumnStripes="0"/>
</table>
</file>

<file path=xl/tables/table8.xml><?xml version="1.0" encoding="utf-8"?>
<table xmlns="http://schemas.openxmlformats.org/spreadsheetml/2006/main" id="5" name="Table5" displayName="Table5" ref="A1:D16" totalsRowShown="0" headerRowDxfId="16" dataDxfId="15">
  <autoFilter ref="A1:D16"/>
  <tableColumns count="4">
    <tableColumn id="1" name="Port" dataDxfId="14"/>
    <tableColumn id="2" name="TCP or UDP" dataDxfId="13"/>
    <tableColumn id="3" name="Service or Protocol" dataDxfId="12"/>
    <tableColumn id="4" name="Notes" dataDxfId="11"/>
  </tableColumns>
  <tableStyleInfo name="TableStyleLight1" showFirstColumn="0" showLastColumn="0" showRowStripes="1" showColumnStripes="0"/>
</table>
</file>

<file path=xl/tables/table9.xml><?xml version="1.0" encoding="utf-8"?>
<table xmlns="http://schemas.openxmlformats.org/spreadsheetml/2006/main" id="1" name="Table9" displayName="Table9" ref="A1:F149" totalsRowShown="0" headerRowDxfId="10" dataDxfId="8" headerRowBorderDxfId="9" tableBorderDxfId="7" totalsRowBorderDxfId="6">
  <autoFilter ref="A1:F149"/>
  <tableColumns count="6">
    <tableColumn id="1" name="VB Keyword " dataDxfId="5"/>
    <tableColumn id="2" name="Description" dataDxfId="4"/>
    <tableColumn id="3" name="Operator" dataDxfId="3"/>
    <tableColumn id="4" name="Function" dataDxfId="2"/>
    <tableColumn id="5" name="Statement" dataDxfId="1"/>
    <tableColumn id="6" name="Construct"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whatis.techtarget.com/definition/Boltzmanns-constant" TargetMode="External"/><Relationship Id="rId13" Type="http://schemas.openxmlformats.org/officeDocument/2006/relationships/hyperlink" Target="http://whatis.techtarget.com/definition/electron-rest-mass" TargetMode="External"/><Relationship Id="rId18" Type="http://schemas.openxmlformats.org/officeDocument/2006/relationships/hyperlink" Target="http://whatis.techtarget.com/definition/gravitational-constant" TargetMode="External"/><Relationship Id="rId26" Type="http://schemas.openxmlformats.org/officeDocument/2006/relationships/hyperlink" Target="http://whatis.techtarget.com/definition/speed-of-sound" TargetMode="External"/><Relationship Id="rId3" Type="http://schemas.openxmlformats.org/officeDocument/2006/relationships/hyperlink" Target="http://whatis.techtarget.com/definition/atomic-mass-unit-AMU-or-amu" TargetMode="External"/><Relationship Id="rId21" Type="http://schemas.openxmlformats.org/officeDocument/2006/relationships/hyperlink" Target="http://whatis.techtarget.com/definition/henry-H" TargetMode="External"/><Relationship Id="rId7" Type="http://schemas.openxmlformats.org/officeDocument/2006/relationships/hyperlink" Target="http://searchcio-midmarket.techtarget.com/definition/meter" TargetMode="External"/><Relationship Id="rId12" Type="http://schemas.openxmlformats.org/officeDocument/2006/relationships/hyperlink" Target="http://searchcio-midmarket.techtarget.com/definition/Earths-mean-radius" TargetMode="External"/><Relationship Id="rId17" Type="http://schemas.openxmlformats.org/officeDocument/2006/relationships/hyperlink" Target="http://whatis.techtarget.com/definition/fine-structure-constant" TargetMode="External"/><Relationship Id="rId25" Type="http://schemas.openxmlformats.org/officeDocument/2006/relationships/hyperlink" Target="http://whatis.techtarget.com/definition/speed-of-light" TargetMode="External"/><Relationship Id="rId2" Type="http://schemas.openxmlformats.org/officeDocument/2006/relationships/hyperlink" Target="http://searchcio-midmarket.techtarget.com/definition/meter" TargetMode="External"/><Relationship Id="rId16" Type="http://schemas.openxmlformats.org/officeDocument/2006/relationships/hyperlink" Target="http://whatis.techtarget.com/definition/Faraday-constant" TargetMode="External"/><Relationship Id="rId20" Type="http://schemas.openxmlformats.org/officeDocument/2006/relationships/hyperlink" Target="http://whatis.techtarget.com/definition/permeability-of-free-space-a-vacuum" TargetMode="External"/><Relationship Id="rId29" Type="http://schemas.openxmlformats.org/officeDocument/2006/relationships/drawing" Target="../drawings/drawing1.xml"/><Relationship Id="rId1" Type="http://schemas.openxmlformats.org/officeDocument/2006/relationships/hyperlink" Target="http://whatis.techtarget.com/definition/astronomical-unit-AU" TargetMode="External"/><Relationship Id="rId6" Type="http://schemas.openxmlformats.org/officeDocument/2006/relationships/hyperlink" Target="http://whatis.techtarget.com/definition/Bohr-radius" TargetMode="External"/><Relationship Id="rId11" Type="http://schemas.openxmlformats.org/officeDocument/2006/relationships/hyperlink" Target="http://searchcio-midmarket.techtarget.com/definition/Earths-mean-orbital-speed" TargetMode="External"/><Relationship Id="rId24" Type="http://schemas.openxmlformats.org/officeDocument/2006/relationships/hyperlink" Target="http://searchcio-midmarket.techtarget.com/definition/Plancks-constant" TargetMode="External"/><Relationship Id="rId5" Type="http://schemas.openxmlformats.org/officeDocument/2006/relationships/hyperlink" Target="http://whatis.techtarget.com/definition/gauss-G" TargetMode="External"/><Relationship Id="rId15" Type="http://schemas.openxmlformats.org/officeDocument/2006/relationships/hyperlink" Target="http://whatis.techtarget.com/definition/Eulers-constant-gamma-or-the-Euler-Mascheroni-constant" TargetMode="External"/><Relationship Id="rId23" Type="http://schemas.openxmlformats.org/officeDocument/2006/relationships/hyperlink" Target="http://whatis.techtarget.com/definition/pi" TargetMode="External"/><Relationship Id="rId28" Type="http://schemas.openxmlformats.org/officeDocument/2006/relationships/hyperlink" Target="http://whatis.techtarget.com/definition/Wiens-constant" TargetMode="External"/><Relationship Id="rId10" Type="http://schemas.openxmlformats.org/officeDocument/2006/relationships/hyperlink" Target="http://whatis.techtarget.com/definition/erg" TargetMode="External"/><Relationship Id="rId19" Type="http://schemas.openxmlformats.org/officeDocument/2006/relationships/hyperlink" Target="http://whatis.techtarget.com/definition/moons-mean-radius" TargetMode="External"/><Relationship Id="rId4" Type="http://schemas.openxmlformats.org/officeDocument/2006/relationships/hyperlink" Target="http://whatis.techtarget.com/definition/mole-per-meter-cubed-Avogadro-constant" TargetMode="External"/><Relationship Id="rId9" Type="http://schemas.openxmlformats.org/officeDocument/2006/relationships/hyperlink" Target="http://whatis.techtarget.com/definition/kelvin-K" TargetMode="External"/><Relationship Id="rId14" Type="http://schemas.openxmlformats.org/officeDocument/2006/relationships/hyperlink" Target="http://whatis.techtarget.com/definition/elementary-charge" TargetMode="External"/><Relationship Id="rId22" Type="http://schemas.openxmlformats.org/officeDocument/2006/relationships/hyperlink" Target="http://searchcio-midmarket.techtarget.com/definition/permittivity-of-free-space" TargetMode="External"/><Relationship Id="rId27" Type="http://schemas.openxmlformats.org/officeDocument/2006/relationships/hyperlink" Target="http://whatis.techtarget.com/definition/Stefan-Boltzmann-constant" TargetMode="External"/><Relationship Id="rId30"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hyperlink" Target="http://www.7-zip.org/"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6" Type="http://schemas.openxmlformats.org/officeDocument/2006/relationships/hyperlink" Target="http://whatis.techtarget.com/definition/amount-of-substance-concentration" TargetMode="External"/><Relationship Id="rId117" Type="http://schemas.openxmlformats.org/officeDocument/2006/relationships/hyperlink" Target="http://whatis.techtarget.com/definition/curie" TargetMode="External"/><Relationship Id="rId21" Type="http://schemas.openxmlformats.org/officeDocument/2006/relationships/hyperlink" Target="http://whatis.techtarget.com/definition/kilogram-per-meter-cubed" TargetMode="External"/><Relationship Id="rId42" Type="http://schemas.openxmlformats.org/officeDocument/2006/relationships/hyperlink" Target="http://whatis.techtarget.com/definition/kilogram-meter-per-second" TargetMode="External"/><Relationship Id="rId47" Type="http://schemas.openxmlformats.org/officeDocument/2006/relationships/hyperlink" Target="http://whatis.techtarget.com/definition/ampere-per-meter-squared-A-m-2" TargetMode="External"/><Relationship Id="rId63" Type="http://schemas.openxmlformats.org/officeDocument/2006/relationships/hyperlink" Target="http://searchcio-midmarket.techtarget.com/definition/permittivity" TargetMode="External"/><Relationship Id="rId68" Type="http://schemas.openxmlformats.org/officeDocument/2006/relationships/hyperlink" Target="http://whatis.techtarget.com/definition/heat" TargetMode="External"/><Relationship Id="rId84" Type="http://schemas.openxmlformats.org/officeDocument/2006/relationships/hyperlink" Target="http://whatis.techtarget.com/definition/gauss-G" TargetMode="External"/><Relationship Id="rId89" Type="http://schemas.openxmlformats.org/officeDocument/2006/relationships/hyperlink" Target="http://whatis.techtarget.com/definition/henry-per-meter-H-m" TargetMode="External"/><Relationship Id="rId112" Type="http://schemas.openxmlformats.org/officeDocument/2006/relationships/hyperlink" Target="http://whatis.techtarget.com/definition/radian-per-second-squared" TargetMode="External"/><Relationship Id="rId16" Type="http://schemas.openxmlformats.org/officeDocument/2006/relationships/hyperlink" Target="http://whatis.techtarget.com/definition/area-A" TargetMode="External"/><Relationship Id="rId107" Type="http://schemas.openxmlformats.org/officeDocument/2006/relationships/hyperlink" Target="http://whatis.techtarget.com/definition/solid-angular-measure" TargetMode="External"/><Relationship Id="rId11" Type="http://schemas.openxmlformats.org/officeDocument/2006/relationships/hyperlink" Target="http://whatis.techtarget.com/definition/kelvin-K" TargetMode="External"/><Relationship Id="rId32" Type="http://schemas.openxmlformats.org/officeDocument/2006/relationships/hyperlink" Target="http://whatis.techtarget.com/definition/work" TargetMode="External"/><Relationship Id="rId37" Type="http://schemas.openxmlformats.org/officeDocument/2006/relationships/hyperlink" Target="http://searchenterpriselinux.techtarget.com/definition/Pascal" TargetMode="External"/><Relationship Id="rId53" Type="http://schemas.openxmlformats.org/officeDocument/2006/relationships/hyperlink" Target="http://whatis.techtarget.com/definition/electric-field-strength" TargetMode="External"/><Relationship Id="rId58" Type="http://schemas.openxmlformats.org/officeDocument/2006/relationships/hyperlink" Target="http://whatis.techtarget.com/definition/coulomb-per-centimeter-squared" TargetMode="External"/><Relationship Id="rId74" Type="http://schemas.openxmlformats.org/officeDocument/2006/relationships/hyperlink" Target="http://searchcio-midmarket.techtarget.com/definition/coulomb" TargetMode="External"/><Relationship Id="rId79" Type="http://schemas.openxmlformats.org/officeDocument/2006/relationships/hyperlink" Target="http://whatis.techtarget.com/definition/abhenry-abH" TargetMode="External"/><Relationship Id="rId102" Type="http://schemas.openxmlformats.org/officeDocument/2006/relationships/hyperlink" Target="http://whatis.techtarget.com/definition/lux-lx" TargetMode="External"/><Relationship Id="rId123" Type="http://schemas.openxmlformats.org/officeDocument/2006/relationships/hyperlink" Target="http://searchcio-midmarket.techtarget.com/definition/meter" TargetMode="External"/><Relationship Id="rId128" Type="http://schemas.openxmlformats.org/officeDocument/2006/relationships/hyperlink" Target="http://searchmobilecomputing.techtarget.com/definition/hertz" TargetMode="External"/><Relationship Id="rId5" Type="http://schemas.openxmlformats.org/officeDocument/2006/relationships/hyperlink" Target="http://whatis.techtarget.com/definition/gram-g-or-gm" TargetMode="External"/><Relationship Id="rId90" Type="http://schemas.openxmlformats.org/officeDocument/2006/relationships/hyperlink" Target="http://whatis.techtarget.com/definition/henry-per-meter-H-m" TargetMode="External"/><Relationship Id="rId95" Type="http://schemas.openxmlformats.org/officeDocument/2006/relationships/hyperlink" Target="http://whatis.techtarget.com/definition/watt-per-steradian" TargetMode="External"/><Relationship Id="rId19" Type="http://schemas.openxmlformats.org/officeDocument/2006/relationships/hyperlink" Target="http://searchcio-midmarket.techtarget.com/definition/cubic-meter" TargetMode="External"/><Relationship Id="rId14" Type="http://schemas.openxmlformats.org/officeDocument/2006/relationships/hyperlink" Target="http://whatis.techtarget.com/definition/luminous-intensity" TargetMode="External"/><Relationship Id="rId22" Type="http://schemas.openxmlformats.org/officeDocument/2006/relationships/hyperlink" Target="http://whatis.techtarget.com/definition/kilogram-per-meter-cubed" TargetMode="External"/><Relationship Id="rId27" Type="http://schemas.openxmlformats.org/officeDocument/2006/relationships/hyperlink" Target="http://whatis.techtarget.com/definition/mole-per-meter-cubed-Avogadro-constant" TargetMode="External"/><Relationship Id="rId30" Type="http://schemas.openxmlformats.org/officeDocument/2006/relationships/hyperlink" Target="http://whatis.techtarget.com/definition/newton-second-N-s" TargetMode="External"/><Relationship Id="rId35" Type="http://schemas.openxmlformats.org/officeDocument/2006/relationships/hyperlink" Target="http://whatis.techtarget.com/definition/pressure" TargetMode="External"/><Relationship Id="rId43" Type="http://schemas.openxmlformats.org/officeDocument/2006/relationships/hyperlink" Target="http://whatis.techtarget.com/definition/kilogram-meter-per-second" TargetMode="External"/><Relationship Id="rId48" Type="http://schemas.openxmlformats.org/officeDocument/2006/relationships/hyperlink" Target="http://searchcio-midmarket.techtarget.com/definition/volt" TargetMode="External"/><Relationship Id="rId56" Type="http://schemas.openxmlformats.org/officeDocument/2006/relationships/hyperlink" Target="http://whatis.techtarget.com/definition/volt-per-meter-V-m" TargetMode="External"/><Relationship Id="rId64" Type="http://schemas.openxmlformats.org/officeDocument/2006/relationships/hyperlink" Target="http://searchcio-midmarket.techtarget.com/definition/power" TargetMode="External"/><Relationship Id="rId69" Type="http://schemas.openxmlformats.org/officeDocument/2006/relationships/hyperlink" Target="http://whatis.techtarget.com/definition/calorie-cal" TargetMode="External"/><Relationship Id="rId77" Type="http://schemas.openxmlformats.org/officeDocument/2006/relationships/hyperlink" Target="http://searchcio-midmarket.techtarget.com/definition/inductor" TargetMode="External"/><Relationship Id="rId100" Type="http://schemas.openxmlformats.org/officeDocument/2006/relationships/hyperlink" Target="http://whatis.techtarget.com/definition/candela-per-meter-squared" TargetMode="External"/><Relationship Id="rId105" Type="http://schemas.openxmlformats.org/officeDocument/2006/relationships/hyperlink" Target="http://searchcio-midmarket.techtarget.com/definition/radian" TargetMode="External"/><Relationship Id="rId113" Type="http://schemas.openxmlformats.org/officeDocument/2006/relationships/hyperlink" Target="http://whatis.techtarget.com/definition/degree-per-second-squared" TargetMode="External"/><Relationship Id="rId118" Type="http://schemas.openxmlformats.org/officeDocument/2006/relationships/hyperlink" Target="http://whatis.techtarget.com/definition/gray-Gy" TargetMode="External"/><Relationship Id="rId126" Type="http://schemas.openxmlformats.org/officeDocument/2006/relationships/hyperlink" Target="http://whatis.techtarget.com/definition/reciprocal-meter" TargetMode="External"/><Relationship Id="rId8" Type="http://schemas.openxmlformats.org/officeDocument/2006/relationships/hyperlink" Target="http://searchcio-midmarket.techtarget.com/definition/current" TargetMode="External"/><Relationship Id="rId51" Type="http://schemas.openxmlformats.org/officeDocument/2006/relationships/hyperlink" Target="http://searchnetworking.techtarget.com/definition/conductance" TargetMode="External"/><Relationship Id="rId72" Type="http://schemas.openxmlformats.org/officeDocument/2006/relationships/hyperlink" Target="http://whatis.techtarget.com/definition/magnetomotive-force-magnetic-potential" TargetMode="External"/><Relationship Id="rId80" Type="http://schemas.openxmlformats.org/officeDocument/2006/relationships/hyperlink" Target="http://whatis.techtarget.com/definition/abhenry-abH" TargetMode="External"/><Relationship Id="rId85" Type="http://schemas.openxmlformats.org/officeDocument/2006/relationships/hyperlink" Target="http://searchcio-midmarket.techtarget.com/definition/magnetic-field-strength" TargetMode="External"/><Relationship Id="rId93" Type="http://schemas.openxmlformats.org/officeDocument/2006/relationships/hyperlink" Target="http://whatis.techtarget.com/definition/henry-per-meter-H-m" TargetMode="External"/><Relationship Id="rId98" Type="http://schemas.openxmlformats.org/officeDocument/2006/relationships/hyperlink" Target="http://searchcio-midmarket.techtarget.com/definition/lumen" TargetMode="External"/><Relationship Id="rId121" Type="http://schemas.openxmlformats.org/officeDocument/2006/relationships/hyperlink" Target="http://searchmobilecomputing.techtarget.com/definition/hertz" TargetMode="External"/><Relationship Id="rId3" Type="http://schemas.openxmlformats.org/officeDocument/2006/relationships/hyperlink" Target="http://whatis.techtarget.com/definition/mass-m" TargetMode="External"/><Relationship Id="rId12" Type="http://schemas.openxmlformats.org/officeDocument/2006/relationships/hyperlink" Target="http://whatis.techtarget.com/definition/amount-of-substance-material-quantity" TargetMode="External"/><Relationship Id="rId17" Type="http://schemas.openxmlformats.org/officeDocument/2006/relationships/hyperlink" Target="http://searchcio-midmarket.techtarget.com/definition/square-meter" TargetMode="External"/><Relationship Id="rId25" Type="http://schemas.openxmlformats.org/officeDocument/2006/relationships/hyperlink" Target="http://whatis.techtarget.com/definition/centimeter-cubed-per-gram" TargetMode="External"/><Relationship Id="rId33" Type="http://schemas.openxmlformats.org/officeDocument/2006/relationships/hyperlink" Target="http://whatis.techtarget.com/definition/work" TargetMode="External"/><Relationship Id="rId38" Type="http://schemas.openxmlformats.org/officeDocument/2006/relationships/hyperlink" Target="http://whatis.techtarget.com/definition/meter-per-second-m-s-or-m-sec" TargetMode="External"/><Relationship Id="rId46" Type="http://schemas.openxmlformats.org/officeDocument/2006/relationships/hyperlink" Target="http://whatis.techtarget.com/definition/ampere-per-meter-squared-A-m-2" TargetMode="External"/><Relationship Id="rId59" Type="http://schemas.openxmlformats.org/officeDocument/2006/relationships/hyperlink" Target="http://whatis.techtarget.com/definition/coulomb-per-centimeter-squared" TargetMode="External"/><Relationship Id="rId67" Type="http://schemas.openxmlformats.org/officeDocument/2006/relationships/hyperlink" Target="http://searchcio-midmarket.techtarget.com/definition/joule" TargetMode="External"/><Relationship Id="rId103" Type="http://schemas.openxmlformats.org/officeDocument/2006/relationships/hyperlink" Target="http://whatis.techtarget.com/definition/lux-lx" TargetMode="External"/><Relationship Id="rId108" Type="http://schemas.openxmlformats.org/officeDocument/2006/relationships/hyperlink" Target="http://searchcio-midmarket.techtarget.com/definition/steradian" TargetMode="External"/><Relationship Id="rId116" Type="http://schemas.openxmlformats.org/officeDocument/2006/relationships/hyperlink" Target="http://whatis.techtarget.com/definition/curie" TargetMode="External"/><Relationship Id="rId124" Type="http://schemas.openxmlformats.org/officeDocument/2006/relationships/hyperlink" Target="http://searchcio-midmarket.techtarget.com/definition/wave-number" TargetMode="External"/><Relationship Id="rId129" Type="http://schemas.openxmlformats.org/officeDocument/2006/relationships/hyperlink" Target="http://searchenterprisewan.techtarget.com/definition/bandwidth" TargetMode="External"/><Relationship Id="rId20" Type="http://schemas.openxmlformats.org/officeDocument/2006/relationships/hyperlink" Target="http://whatis.techtarget.com/definition/material-density" TargetMode="External"/><Relationship Id="rId41" Type="http://schemas.openxmlformats.org/officeDocument/2006/relationships/hyperlink" Target="http://whatis.techtarget.com/definition/kilogram-meter-per-second" TargetMode="External"/><Relationship Id="rId54" Type="http://schemas.openxmlformats.org/officeDocument/2006/relationships/hyperlink" Target="http://whatis.techtarget.com/definition/volt-per-meter-V-m" TargetMode="External"/><Relationship Id="rId62" Type="http://schemas.openxmlformats.org/officeDocument/2006/relationships/hyperlink" Target="http://searchcio-midmarket.techtarget.com/definition/permittivity" TargetMode="External"/><Relationship Id="rId70" Type="http://schemas.openxmlformats.org/officeDocument/2006/relationships/hyperlink" Target="http://whatis.techtarget.com/definition/magnetomotive-force-magnetic-potential" TargetMode="External"/><Relationship Id="rId75" Type="http://schemas.openxmlformats.org/officeDocument/2006/relationships/hyperlink" Target="http://searchcio-midmarket.techtarget.com/definition/capacitor" TargetMode="External"/><Relationship Id="rId83" Type="http://schemas.openxmlformats.org/officeDocument/2006/relationships/hyperlink" Target="http://whatis.techtarget.com/definition/tesla-T" TargetMode="External"/><Relationship Id="rId88" Type="http://schemas.openxmlformats.org/officeDocument/2006/relationships/hyperlink" Target="http://searchcio-midmarket.techtarget.com/definition/permeability" TargetMode="External"/><Relationship Id="rId91" Type="http://schemas.openxmlformats.org/officeDocument/2006/relationships/hyperlink" Target="http://whatis.techtarget.com/definition/henry-per-meter-H-m" TargetMode="External"/><Relationship Id="rId96" Type="http://schemas.openxmlformats.org/officeDocument/2006/relationships/hyperlink" Target="http://whatis.techtarget.com/definition/luminous-flux" TargetMode="External"/><Relationship Id="rId111" Type="http://schemas.openxmlformats.org/officeDocument/2006/relationships/hyperlink" Target="http://whatis.techtarget.com/definition/angular-acceleration-rotational-acceleration" TargetMode="External"/><Relationship Id="rId1" Type="http://schemas.openxmlformats.org/officeDocument/2006/relationships/hyperlink" Target="http://whatis.techtarget.com/definition/displacement" TargetMode="External"/><Relationship Id="rId6" Type="http://schemas.openxmlformats.org/officeDocument/2006/relationships/hyperlink" Target="http://searchcio-midmarket.techtarget.com/definition/time" TargetMode="External"/><Relationship Id="rId15" Type="http://schemas.openxmlformats.org/officeDocument/2006/relationships/hyperlink" Target="http://whatis.techtarget.com/definition/candela-cd" TargetMode="External"/><Relationship Id="rId23" Type="http://schemas.openxmlformats.org/officeDocument/2006/relationships/hyperlink" Target="http://whatis.techtarget.com/definition/specific-volume" TargetMode="External"/><Relationship Id="rId28" Type="http://schemas.openxmlformats.org/officeDocument/2006/relationships/hyperlink" Target="http://searchcio-midmarket.techtarget.com/definition/newton" TargetMode="External"/><Relationship Id="rId36" Type="http://schemas.openxmlformats.org/officeDocument/2006/relationships/hyperlink" Target="http://searchenterpriselinux.techtarget.com/definition/Pascal" TargetMode="External"/><Relationship Id="rId49" Type="http://schemas.openxmlformats.org/officeDocument/2006/relationships/hyperlink" Target="http://searchcio-midmarket.techtarget.com/definition/resistance" TargetMode="External"/><Relationship Id="rId57" Type="http://schemas.openxmlformats.org/officeDocument/2006/relationships/hyperlink" Target="http://whatis.techtarget.com/definition/volt-per-meter-V-m" TargetMode="External"/><Relationship Id="rId106" Type="http://schemas.openxmlformats.org/officeDocument/2006/relationships/hyperlink" Target="http://whatis.techtarget.com/definition/angular-degree-deg-or" TargetMode="External"/><Relationship Id="rId114" Type="http://schemas.openxmlformats.org/officeDocument/2006/relationships/hyperlink" Target="http://whatis.techtarget.com/definition/ionizing-radiation" TargetMode="External"/><Relationship Id="rId119" Type="http://schemas.openxmlformats.org/officeDocument/2006/relationships/hyperlink" Target="http://searchsoftwarequality.techtarget.com/definition/rapid-application-development" TargetMode="External"/><Relationship Id="rId127" Type="http://schemas.openxmlformats.org/officeDocument/2006/relationships/hyperlink" Target="http://searchenterprisewan.techtarget.com/definition/bandwidth" TargetMode="External"/><Relationship Id="rId10" Type="http://schemas.openxmlformats.org/officeDocument/2006/relationships/hyperlink" Target="http://whatis.techtarget.com/definition/temperature-T" TargetMode="External"/><Relationship Id="rId31" Type="http://schemas.openxmlformats.org/officeDocument/2006/relationships/hyperlink" Target="http://whatis.techtarget.com/definition/newton-second-N-s" TargetMode="External"/><Relationship Id="rId44" Type="http://schemas.openxmlformats.org/officeDocument/2006/relationships/hyperlink" Target="http://whatis.techtarget.com/definition/meter-per-second-squared" TargetMode="External"/><Relationship Id="rId52" Type="http://schemas.openxmlformats.org/officeDocument/2006/relationships/hyperlink" Target="http://searchcio-midmarket.techtarget.com/definition/siemens" TargetMode="External"/><Relationship Id="rId60" Type="http://schemas.openxmlformats.org/officeDocument/2006/relationships/hyperlink" Target="http://whatis.techtarget.com/definition/coulomb-per-meter-cubed" TargetMode="External"/><Relationship Id="rId65" Type="http://schemas.openxmlformats.org/officeDocument/2006/relationships/hyperlink" Target="http://searchcio-midmarket.techtarget.com/definition/watt" TargetMode="External"/><Relationship Id="rId73" Type="http://schemas.openxmlformats.org/officeDocument/2006/relationships/hyperlink" Target="http://whatis.techtarget.com/definition/charge-quantity" TargetMode="External"/><Relationship Id="rId78" Type="http://schemas.openxmlformats.org/officeDocument/2006/relationships/hyperlink" Target="http://whatis.techtarget.com/definition/henry-H" TargetMode="External"/><Relationship Id="rId81" Type="http://schemas.openxmlformats.org/officeDocument/2006/relationships/hyperlink" Target="http://whatis.techtarget.com/definition/abhenry-abH" TargetMode="External"/><Relationship Id="rId86" Type="http://schemas.openxmlformats.org/officeDocument/2006/relationships/hyperlink" Target="http://whatis.techtarget.com/definition/ampere-per-meter-A-m-Oe-oersted" TargetMode="External"/><Relationship Id="rId94" Type="http://schemas.openxmlformats.org/officeDocument/2006/relationships/hyperlink" Target="http://whatis.techtarget.com/definition/radiant-intensity" TargetMode="External"/><Relationship Id="rId99" Type="http://schemas.openxmlformats.org/officeDocument/2006/relationships/hyperlink" Target="http://whatis.techtarget.com/definition/candela-per-meter-squared" TargetMode="External"/><Relationship Id="rId101" Type="http://schemas.openxmlformats.org/officeDocument/2006/relationships/hyperlink" Target="http://whatis.techtarget.com/definition/candela-per-meter-squared" TargetMode="External"/><Relationship Id="rId122" Type="http://schemas.openxmlformats.org/officeDocument/2006/relationships/hyperlink" Target="http://searchnetworking.techtarget.com/definition/wavelength" TargetMode="External"/><Relationship Id="rId130" Type="http://schemas.openxmlformats.org/officeDocument/2006/relationships/hyperlink" Target="http://searchnetworking.techtarget.com/definition/bits-per-second" TargetMode="External"/><Relationship Id="rId4" Type="http://schemas.openxmlformats.org/officeDocument/2006/relationships/hyperlink" Target="http://searchcio-midmarket.techtarget.com/definition/kilogram" TargetMode="External"/><Relationship Id="rId9" Type="http://schemas.openxmlformats.org/officeDocument/2006/relationships/hyperlink" Target="http://searchcio-midmarket.techtarget.com/definition/ampere" TargetMode="External"/><Relationship Id="rId13" Type="http://schemas.openxmlformats.org/officeDocument/2006/relationships/hyperlink" Target="http://whatis.techtarget.com/definition/mole" TargetMode="External"/><Relationship Id="rId18" Type="http://schemas.openxmlformats.org/officeDocument/2006/relationships/hyperlink" Target="http://searchstorage.techtarget.com/definition/volume" TargetMode="External"/><Relationship Id="rId39" Type="http://schemas.openxmlformats.org/officeDocument/2006/relationships/hyperlink" Target="http://whatis.techtarget.com/definition/meter-per-second-m-s-or-m-sec" TargetMode="External"/><Relationship Id="rId109" Type="http://schemas.openxmlformats.org/officeDocument/2006/relationships/hyperlink" Target="http://whatis.techtarget.com/definition/radian-per-second-rad-s-or-rad-sec" TargetMode="External"/><Relationship Id="rId34" Type="http://schemas.openxmlformats.org/officeDocument/2006/relationships/hyperlink" Target="http://whatis.techtarget.com/definition/work" TargetMode="External"/><Relationship Id="rId50" Type="http://schemas.openxmlformats.org/officeDocument/2006/relationships/hyperlink" Target="http://whatis.techtarget.com/definition/ohm" TargetMode="External"/><Relationship Id="rId55" Type="http://schemas.openxmlformats.org/officeDocument/2006/relationships/hyperlink" Target="http://whatis.techtarget.com/definition/volt-per-meter-V-m" TargetMode="External"/><Relationship Id="rId76" Type="http://schemas.openxmlformats.org/officeDocument/2006/relationships/hyperlink" Target="http://searchcio-midmarket.techtarget.com/definition/farad" TargetMode="External"/><Relationship Id="rId97" Type="http://schemas.openxmlformats.org/officeDocument/2006/relationships/hyperlink" Target="http://searchcio-midmarket.techtarget.com/definition/lumen" TargetMode="External"/><Relationship Id="rId104" Type="http://schemas.openxmlformats.org/officeDocument/2006/relationships/hyperlink" Target="http://whatis.techtarget.com/definition/lux-lx" TargetMode="External"/><Relationship Id="rId120" Type="http://schemas.openxmlformats.org/officeDocument/2006/relationships/hyperlink" Target="http://searchcio-midmarket.techtarget.com/definition/frequency" TargetMode="External"/><Relationship Id="rId125" Type="http://schemas.openxmlformats.org/officeDocument/2006/relationships/hyperlink" Target="http://whatis.techtarget.com/definition/reciprocal-meter" TargetMode="External"/><Relationship Id="rId7" Type="http://schemas.openxmlformats.org/officeDocument/2006/relationships/hyperlink" Target="http://whatis.techtarget.com/definition/second-s-or-sec" TargetMode="External"/><Relationship Id="rId71" Type="http://schemas.openxmlformats.org/officeDocument/2006/relationships/hyperlink" Target="http://whatis.techtarget.com/definition/magnetomotive-force-magnetic-potential" TargetMode="External"/><Relationship Id="rId92" Type="http://schemas.openxmlformats.org/officeDocument/2006/relationships/hyperlink" Target="http://whatis.techtarget.com/definition/henry-per-meter-H-m" TargetMode="External"/><Relationship Id="rId2" Type="http://schemas.openxmlformats.org/officeDocument/2006/relationships/hyperlink" Target="http://searchcio-midmarket.techtarget.com/definition/meter" TargetMode="External"/><Relationship Id="rId29" Type="http://schemas.openxmlformats.org/officeDocument/2006/relationships/hyperlink" Target="http://whatis.techtarget.com/definition/dyne" TargetMode="External"/><Relationship Id="rId24" Type="http://schemas.openxmlformats.org/officeDocument/2006/relationships/hyperlink" Target="http://whatis.techtarget.com/definition/meter-cubed-per-kilogram" TargetMode="External"/><Relationship Id="rId40" Type="http://schemas.openxmlformats.org/officeDocument/2006/relationships/hyperlink" Target="http://whatis.techtarget.com/definition/momentum" TargetMode="External"/><Relationship Id="rId45" Type="http://schemas.openxmlformats.org/officeDocument/2006/relationships/hyperlink" Target="http://whatis.techtarget.com/definition/gravity-or-gravitation" TargetMode="External"/><Relationship Id="rId66" Type="http://schemas.openxmlformats.org/officeDocument/2006/relationships/hyperlink" Target="http://searchcio-midmarket.techtarget.com/definition/energy" TargetMode="External"/><Relationship Id="rId87" Type="http://schemas.openxmlformats.org/officeDocument/2006/relationships/hyperlink" Target="http://whatis.techtarget.com/definition/ampere-per-meter-A-m-Oe-oersted" TargetMode="External"/><Relationship Id="rId110" Type="http://schemas.openxmlformats.org/officeDocument/2006/relationships/hyperlink" Target="http://whatis.techtarget.com/definition/degree-per-second" TargetMode="External"/><Relationship Id="rId115" Type="http://schemas.openxmlformats.org/officeDocument/2006/relationships/hyperlink" Target="http://whatis.techtarget.com/definition/becquerel" TargetMode="External"/><Relationship Id="rId131" Type="http://schemas.openxmlformats.org/officeDocument/2006/relationships/table" Target="../tables/table4.xml"/><Relationship Id="rId61" Type="http://schemas.openxmlformats.org/officeDocument/2006/relationships/hyperlink" Target="http://whatis.techtarget.com/definition/coulomb-per-meter-cubed" TargetMode="External"/><Relationship Id="rId82" Type="http://schemas.openxmlformats.org/officeDocument/2006/relationships/hyperlink" Target="http://whatis.techtarget.com/definition/abhenry-abH"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https://en.wikipedia.org/wiki/Network_Time_Protocol" TargetMode="External"/><Relationship Id="rId3" Type="http://schemas.openxmlformats.org/officeDocument/2006/relationships/hyperlink" Target="https://en.wikipedia.org/wiki/Telnet" TargetMode="External"/><Relationship Id="rId7" Type="http://schemas.openxmlformats.org/officeDocument/2006/relationships/hyperlink" Target="https://en.wikipedia.org/wiki/Network_News_Transfer_Protocol" TargetMode="External"/><Relationship Id="rId12" Type="http://schemas.openxmlformats.org/officeDocument/2006/relationships/table" Target="../tables/table8.xml"/><Relationship Id="rId2" Type="http://schemas.openxmlformats.org/officeDocument/2006/relationships/hyperlink" Target="https://en.wikipedia.org/wiki/File_Transfer_Protocol" TargetMode="External"/><Relationship Id="rId1" Type="http://schemas.openxmlformats.org/officeDocument/2006/relationships/hyperlink" Target="https://en.wikipedia.org/wiki/File_Transfer_Protocol" TargetMode="External"/><Relationship Id="rId6" Type="http://schemas.openxmlformats.org/officeDocument/2006/relationships/hyperlink" Target="https://en.wikipedia.org/wiki/List_of_TCP_and_UDP_port_numbers" TargetMode="External"/><Relationship Id="rId11" Type="http://schemas.openxmlformats.org/officeDocument/2006/relationships/printerSettings" Target="../printerSettings/printerSettings6.bin"/><Relationship Id="rId5" Type="http://schemas.openxmlformats.org/officeDocument/2006/relationships/hyperlink" Target="https://en.wikipedia.org/wiki/Time_Protocol" TargetMode="External"/><Relationship Id="rId10" Type="http://schemas.openxmlformats.org/officeDocument/2006/relationships/hyperlink" Target="https://en.wikipedia.org/wiki/List_of_TCP_and_UDP_port_numbers" TargetMode="External"/><Relationship Id="rId4" Type="http://schemas.openxmlformats.org/officeDocument/2006/relationships/hyperlink" Target="https://en.wikipedia.org/wiki/Simple_Mail_Transfer_Protocol" TargetMode="External"/><Relationship Id="rId9" Type="http://schemas.openxmlformats.org/officeDocument/2006/relationships/hyperlink" Target="https://en.wikipedia.org/wiki/Internet_Message_Access_Protocol"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9"/>
  <sheetViews>
    <sheetView topLeftCell="A31" workbookViewId="0">
      <selection activeCell="A37" sqref="A37:L37"/>
    </sheetView>
  </sheetViews>
  <sheetFormatPr defaultRowHeight="15.75" x14ac:dyDescent="0.25"/>
  <cols>
    <col min="1" max="1" width="11.85546875" style="1" customWidth="1"/>
    <col min="2" max="7" width="9.140625" style="1"/>
    <col min="8" max="8" width="13.42578125" style="3" customWidth="1"/>
    <col min="9" max="9" width="9.140625" style="1"/>
    <col min="10" max="10" width="13.140625" style="1" bestFit="1" customWidth="1"/>
    <col min="11" max="11" width="12.28515625" style="2" customWidth="1"/>
    <col min="12" max="12" width="29.140625" style="1" bestFit="1" customWidth="1"/>
    <col min="13" max="16384" width="9.140625" style="1"/>
  </cols>
  <sheetData>
    <row r="1" spans="1:12" ht="15.75" customHeight="1" x14ac:dyDescent="0.25">
      <c r="A1" s="313" t="s">
        <v>258</v>
      </c>
      <c r="B1" s="315" t="s">
        <v>257</v>
      </c>
      <c r="C1" s="315" t="s">
        <v>256</v>
      </c>
      <c r="D1" s="315" t="s">
        <v>255</v>
      </c>
      <c r="E1" s="317" t="s">
        <v>254</v>
      </c>
      <c r="F1" s="318"/>
      <c r="G1" s="319"/>
      <c r="H1" s="324" t="s">
        <v>253</v>
      </c>
      <c r="I1" s="324" t="s">
        <v>252</v>
      </c>
      <c r="J1" s="324" t="s">
        <v>251</v>
      </c>
      <c r="K1" s="315" t="s">
        <v>250</v>
      </c>
      <c r="L1" s="309" t="s">
        <v>249</v>
      </c>
    </row>
    <row r="2" spans="1:12" ht="16.5" thickBot="1" x14ac:dyDescent="0.3">
      <c r="A2" s="314"/>
      <c r="B2" s="316"/>
      <c r="C2" s="316"/>
      <c r="D2" s="316"/>
      <c r="E2" s="20" t="s">
        <v>248</v>
      </c>
      <c r="F2" s="20" t="s">
        <v>247</v>
      </c>
      <c r="G2" s="20" t="s">
        <v>246</v>
      </c>
      <c r="H2" s="325"/>
      <c r="I2" s="325"/>
      <c r="J2" s="325"/>
      <c r="K2" s="322"/>
      <c r="L2" s="310"/>
    </row>
    <row r="3" spans="1:12" ht="34.5" x14ac:dyDescent="0.25">
      <c r="A3" s="19" t="s">
        <v>245</v>
      </c>
      <c r="B3" s="17">
        <v>0</v>
      </c>
      <c r="C3" s="18">
        <v>0</v>
      </c>
      <c r="D3" s="17">
        <v>0</v>
      </c>
      <c r="E3" s="199" t="s">
        <v>244</v>
      </c>
      <c r="F3" s="311" t="s">
        <v>243</v>
      </c>
      <c r="G3" s="312"/>
      <c r="H3" s="16" t="s">
        <v>242</v>
      </c>
      <c r="I3" s="15" t="s">
        <v>241</v>
      </c>
      <c r="J3" s="15" t="s">
        <v>240</v>
      </c>
      <c r="K3" s="13">
        <v>12</v>
      </c>
      <c r="L3" s="14" t="s">
        <v>239</v>
      </c>
    </row>
    <row r="4" spans="1:12" ht="34.5" x14ac:dyDescent="0.25">
      <c r="A4" s="5" t="s">
        <v>238</v>
      </c>
      <c r="B4" s="10">
        <v>1</v>
      </c>
      <c r="C4" s="11">
        <v>1</v>
      </c>
      <c r="D4" s="10">
        <v>1</v>
      </c>
      <c r="E4" s="198" t="s">
        <v>237</v>
      </c>
      <c r="F4" s="320" t="s">
        <v>236</v>
      </c>
      <c r="G4" s="321"/>
      <c r="H4" s="9" t="s">
        <v>235</v>
      </c>
      <c r="I4" s="8" t="s">
        <v>234</v>
      </c>
      <c r="J4" s="7"/>
      <c r="K4" s="13" t="s">
        <v>233</v>
      </c>
      <c r="L4" s="12" t="s">
        <v>232</v>
      </c>
    </row>
    <row r="5" spans="1:12" ht="34.5" x14ac:dyDescent="0.25">
      <c r="A5" s="5" t="s">
        <v>231</v>
      </c>
      <c r="B5" s="10">
        <v>2</v>
      </c>
      <c r="C5" s="11">
        <v>2</v>
      </c>
      <c r="D5" s="10">
        <v>2</v>
      </c>
      <c r="E5" s="198" t="s">
        <v>230</v>
      </c>
      <c r="F5" s="320" t="s">
        <v>229</v>
      </c>
      <c r="G5" s="321"/>
      <c r="H5" s="9" t="s">
        <v>228</v>
      </c>
      <c r="I5" s="8" t="s">
        <v>227</v>
      </c>
      <c r="J5" s="7"/>
      <c r="K5" s="13" t="s">
        <v>226</v>
      </c>
      <c r="L5" s="12" t="s">
        <v>225</v>
      </c>
    </row>
    <row r="6" spans="1:12" ht="34.5" x14ac:dyDescent="0.25">
      <c r="A6" s="5" t="s">
        <v>224</v>
      </c>
      <c r="B6" s="10">
        <v>3</v>
      </c>
      <c r="C6" s="11">
        <v>3</v>
      </c>
      <c r="D6" s="10">
        <v>3</v>
      </c>
      <c r="E6" s="198" t="s">
        <v>223</v>
      </c>
      <c r="F6" s="320" t="s">
        <v>222</v>
      </c>
      <c r="G6" s="321"/>
      <c r="H6" s="9" t="s">
        <v>221</v>
      </c>
      <c r="I6" s="8" t="s">
        <v>220</v>
      </c>
      <c r="J6" s="7"/>
      <c r="K6" s="13" t="s">
        <v>219</v>
      </c>
      <c r="L6" s="12" t="s">
        <v>218</v>
      </c>
    </row>
    <row r="7" spans="1:12" ht="34.5" x14ac:dyDescent="0.25">
      <c r="A7" s="5" t="s">
        <v>217</v>
      </c>
      <c r="B7" s="10">
        <v>4</v>
      </c>
      <c r="C7" s="11">
        <v>4</v>
      </c>
      <c r="D7" s="10">
        <v>4</v>
      </c>
      <c r="E7" s="320" t="s">
        <v>216</v>
      </c>
      <c r="F7" s="323"/>
      <c r="G7" s="321"/>
      <c r="H7" s="9" t="s">
        <v>215</v>
      </c>
      <c r="I7" s="8" t="s">
        <v>214</v>
      </c>
      <c r="J7" s="7"/>
      <c r="K7" s="13" t="s">
        <v>213</v>
      </c>
      <c r="L7" s="12" t="s">
        <v>212</v>
      </c>
    </row>
    <row r="8" spans="1:12" ht="34.5" x14ac:dyDescent="0.25">
      <c r="A8" s="5" t="s">
        <v>211</v>
      </c>
      <c r="B8" s="10">
        <v>5</v>
      </c>
      <c r="C8" s="11">
        <v>5</v>
      </c>
      <c r="D8" s="10">
        <v>5</v>
      </c>
      <c r="E8" s="198" t="s">
        <v>210</v>
      </c>
      <c r="F8" s="320" t="s">
        <v>209</v>
      </c>
      <c r="G8" s="321"/>
      <c r="H8" s="9" t="s">
        <v>208</v>
      </c>
      <c r="I8" s="8" t="s">
        <v>207</v>
      </c>
      <c r="J8" s="7"/>
      <c r="K8" s="13" t="s">
        <v>206</v>
      </c>
      <c r="L8" s="12" t="s">
        <v>205</v>
      </c>
    </row>
    <row r="9" spans="1:12" ht="34.5" x14ac:dyDescent="0.25">
      <c r="A9" s="5" t="s">
        <v>204</v>
      </c>
      <c r="B9" s="10">
        <v>6</v>
      </c>
      <c r="C9" s="11">
        <v>6</v>
      </c>
      <c r="D9" s="10">
        <v>6</v>
      </c>
      <c r="E9" s="198" t="s">
        <v>203</v>
      </c>
      <c r="F9" s="320" t="s">
        <v>202</v>
      </c>
      <c r="G9" s="321"/>
      <c r="H9" s="9" t="s">
        <v>201</v>
      </c>
      <c r="I9" s="8" t="s">
        <v>200</v>
      </c>
      <c r="J9" s="7"/>
      <c r="K9" s="13" t="s">
        <v>199</v>
      </c>
      <c r="L9" s="12" t="s">
        <v>198</v>
      </c>
    </row>
    <row r="10" spans="1:12" ht="34.5" x14ac:dyDescent="0.25">
      <c r="A10" s="5" t="s">
        <v>197</v>
      </c>
      <c r="B10" s="10">
        <v>7</v>
      </c>
      <c r="C10" s="11">
        <v>7</v>
      </c>
      <c r="D10" s="10">
        <v>7</v>
      </c>
      <c r="E10" s="198" t="s">
        <v>196</v>
      </c>
      <c r="F10" s="320" t="s">
        <v>195</v>
      </c>
      <c r="G10" s="321"/>
      <c r="H10" s="9" t="s">
        <v>194</v>
      </c>
      <c r="I10" s="8" t="s">
        <v>193</v>
      </c>
      <c r="J10" s="8" t="s">
        <v>192</v>
      </c>
      <c r="K10" s="13" t="s">
        <v>191</v>
      </c>
      <c r="L10" s="12" t="s">
        <v>190</v>
      </c>
    </row>
    <row r="11" spans="1:12" ht="34.5" x14ac:dyDescent="0.25">
      <c r="A11" s="5" t="s">
        <v>189</v>
      </c>
      <c r="B11" s="10">
        <v>10</v>
      </c>
      <c r="C11" s="11">
        <v>8</v>
      </c>
      <c r="D11" s="10">
        <v>8</v>
      </c>
      <c r="E11" s="198" t="s">
        <v>188</v>
      </c>
      <c r="F11" s="320" t="s">
        <v>187</v>
      </c>
      <c r="G11" s="321"/>
      <c r="H11" s="9" t="s">
        <v>186</v>
      </c>
      <c r="I11" s="8" t="s">
        <v>185</v>
      </c>
      <c r="J11" s="8" t="s">
        <v>184</v>
      </c>
      <c r="K11" s="13" t="s">
        <v>183</v>
      </c>
      <c r="L11" s="5" t="s">
        <v>182</v>
      </c>
    </row>
    <row r="12" spans="1:12" ht="34.5" x14ac:dyDescent="0.25">
      <c r="A12" s="5" t="s">
        <v>181</v>
      </c>
      <c r="B12" s="10">
        <v>11</v>
      </c>
      <c r="C12" s="11">
        <v>9</v>
      </c>
      <c r="D12" s="10">
        <v>9</v>
      </c>
      <c r="E12" s="198" t="s">
        <v>180</v>
      </c>
      <c r="F12" s="320" t="s">
        <v>179</v>
      </c>
      <c r="G12" s="321"/>
      <c r="H12" s="9" t="s">
        <v>178</v>
      </c>
      <c r="I12" s="8" t="s">
        <v>177</v>
      </c>
      <c r="J12" s="8" t="s">
        <v>176</v>
      </c>
      <c r="K12" s="13" t="s">
        <v>175</v>
      </c>
      <c r="L12" s="5" t="s">
        <v>174</v>
      </c>
    </row>
    <row r="13" spans="1:12" ht="34.5" x14ac:dyDescent="0.25">
      <c r="A13" s="5" t="s">
        <v>173</v>
      </c>
      <c r="B13" s="10">
        <v>12</v>
      </c>
      <c r="C13" s="11">
        <v>10</v>
      </c>
      <c r="D13" s="10" t="s">
        <v>172</v>
      </c>
      <c r="E13" s="320" t="s">
        <v>171</v>
      </c>
      <c r="F13" s="323"/>
      <c r="G13" s="321"/>
      <c r="H13" s="9" t="s">
        <v>170</v>
      </c>
      <c r="I13" s="8" t="s">
        <v>169</v>
      </c>
      <c r="J13" s="8" t="s">
        <v>168</v>
      </c>
      <c r="K13" s="13" t="s">
        <v>167</v>
      </c>
      <c r="L13" s="12" t="s">
        <v>166</v>
      </c>
    </row>
    <row r="14" spans="1:12" ht="34.5" x14ac:dyDescent="0.25">
      <c r="A14" s="5" t="s">
        <v>165</v>
      </c>
      <c r="B14" s="10">
        <v>13</v>
      </c>
      <c r="C14" s="11">
        <v>11</v>
      </c>
      <c r="D14" s="10" t="s">
        <v>164</v>
      </c>
      <c r="E14" s="198" t="s">
        <v>163</v>
      </c>
      <c r="F14" s="320" t="s">
        <v>162</v>
      </c>
      <c r="G14" s="321"/>
      <c r="H14" s="9" t="s">
        <v>161</v>
      </c>
      <c r="I14" s="8" t="s">
        <v>160</v>
      </c>
      <c r="J14" s="8" t="s">
        <v>159</v>
      </c>
      <c r="K14" s="13" t="s">
        <v>158</v>
      </c>
      <c r="L14" s="12" t="s">
        <v>157</v>
      </c>
    </row>
    <row r="15" spans="1:12" ht="34.5" x14ac:dyDescent="0.25">
      <c r="A15" s="5" t="s">
        <v>156</v>
      </c>
      <c r="B15" s="10">
        <v>14</v>
      </c>
      <c r="C15" s="11">
        <v>12</v>
      </c>
      <c r="D15" s="10" t="s">
        <v>155</v>
      </c>
      <c r="E15" s="320" t="s">
        <v>154</v>
      </c>
      <c r="F15" s="323"/>
      <c r="G15" s="321"/>
      <c r="H15" s="9" t="s">
        <v>153</v>
      </c>
      <c r="I15" s="8" t="s">
        <v>152</v>
      </c>
      <c r="J15" s="8" t="s">
        <v>151</v>
      </c>
      <c r="K15" s="13" t="s">
        <v>150</v>
      </c>
      <c r="L15" s="12" t="s">
        <v>149</v>
      </c>
    </row>
    <row r="16" spans="1:12" ht="34.5" x14ac:dyDescent="0.25">
      <c r="A16" s="5" t="s">
        <v>148</v>
      </c>
      <c r="B16" s="10">
        <v>15</v>
      </c>
      <c r="C16" s="11">
        <v>13</v>
      </c>
      <c r="D16" s="10" t="s">
        <v>147</v>
      </c>
      <c r="E16" s="320" t="s">
        <v>146</v>
      </c>
      <c r="F16" s="323"/>
      <c r="G16" s="321"/>
      <c r="H16" s="9" t="s">
        <v>145</v>
      </c>
      <c r="I16" s="8" t="s">
        <v>144</v>
      </c>
      <c r="J16" s="8" t="s">
        <v>143</v>
      </c>
      <c r="K16" s="13" t="s">
        <v>142</v>
      </c>
      <c r="L16" s="5" t="s">
        <v>141</v>
      </c>
    </row>
    <row r="17" spans="1:12" ht="34.5" x14ac:dyDescent="0.25">
      <c r="A17" s="5" t="s">
        <v>140</v>
      </c>
      <c r="B17" s="10">
        <v>16</v>
      </c>
      <c r="C17" s="11">
        <v>14</v>
      </c>
      <c r="D17" s="10" t="s">
        <v>139</v>
      </c>
      <c r="E17" s="320" t="s">
        <v>138</v>
      </c>
      <c r="F17" s="323"/>
      <c r="G17" s="321"/>
      <c r="H17" s="9" t="s">
        <v>137</v>
      </c>
      <c r="I17" s="8" t="s">
        <v>136</v>
      </c>
      <c r="J17" s="7"/>
      <c r="K17" s="13" t="s">
        <v>135</v>
      </c>
      <c r="L17" s="12" t="s">
        <v>134</v>
      </c>
    </row>
    <row r="18" spans="1:12" ht="34.5" x14ac:dyDescent="0.25">
      <c r="A18" s="5" t="s">
        <v>133</v>
      </c>
      <c r="B18" s="10">
        <v>17</v>
      </c>
      <c r="C18" s="11">
        <v>15</v>
      </c>
      <c r="D18" s="10" t="s">
        <v>132</v>
      </c>
      <c r="E18" s="320" t="s">
        <v>131</v>
      </c>
      <c r="F18" s="323"/>
      <c r="G18" s="321"/>
      <c r="H18" s="9" t="s">
        <v>130</v>
      </c>
      <c r="I18" s="8" t="s">
        <v>129</v>
      </c>
      <c r="J18" s="7"/>
      <c r="K18" s="13" t="s">
        <v>128</v>
      </c>
      <c r="L18" s="12" t="s">
        <v>127</v>
      </c>
    </row>
    <row r="19" spans="1:12" ht="34.5" x14ac:dyDescent="0.25">
      <c r="A19" s="5" t="s">
        <v>126</v>
      </c>
      <c r="B19" s="10">
        <v>20</v>
      </c>
      <c r="C19" s="11">
        <v>16</v>
      </c>
      <c r="D19" s="10">
        <v>10</v>
      </c>
      <c r="E19" s="198" t="s">
        <v>125</v>
      </c>
      <c r="F19" s="320" t="s">
        <v>124</v>
      </c>
      <c r="G19" s="321"/>
      <c r="H19" s="9" t="s">
        <v>123</v>
      </c>
      <c r="I19" s="8" t="s">
        <v>122</v>
      </c>
      <c r="J19" s="7"/>
      <c r="K19" s="13" t="s">
        <v>121</v>
      </c>
      <c r="L19" s="12" t="s">
        <v>120</v>
      </c>
    </row>
    <row r="20" spans="1:12" ht="34.5" x14ac:dyDescent="0.25">
      <c r="A20" s="5" t="s">
        <v>119</v>
      </c>
      <c r="B20" s="10">
        <v>21</v>
      </c>
      <c r="C20" s="11">
        <v>17</v>
      </c>
      <c r="D20" s="10">
        <v>11</v>
      </c>
      <c r="E20" s="320" t="s">
        <v>118</v>
      </c>
      <c r="F20" s="323"/>
      <c r="G20" s="321"/>
      <c r="H20" s="9" t="s">
        <v>117</v>
      </c>
      <c r="I20" s="8" t="s">
        <v>116</v>
      </c>
      <c r="J20" s="7"/>
      <c r="K20" s="13" t="s">
        <v>115</v>
      </c>
      <c r="L20" s="5" t="s">
        <v>114</v>
      </c>
    </row>
    <row r="21" spans="1:12" ht="34.5" x14ac:dyDescent="0.25">
      <c r="A21" s="5" t="s">
        <v>113</v>
      </c>
      <c r="B21" s="10">
        <v>22</v>
      </c>
      <c r="C21" s="11">
        <v>18</v>
      </c>
      <c r="D21" s="10">
        <v>12</v>
      </c>
      <c r="E21" s="320" t="s">
        <v>112</v>
      </c>
      <c r="F21" s="323"/>
      <c r="G21" s="321"/>
      <c r="H21" s="9" t="s">
        <v>111</v>
      </c>
      <c r="I21" s="8" t="s">
        <v>110</v>
      </c>
      <c r="J21" s="7"/>
      <c r="K21" s="13" t="s">
        <v>109</v>
      </c>
      <c r="L21" s="12" t="s">
        <v>108</v>
      </c>
    </row>
    <row r="22" spans="1:12" ht="34.5" x14ac:dyDescent="0.25">
      <c r="A22" s="5" t="s">
        <v>107</v>
      </c>
      <c r="B22" s="10">
        <v>23</v>
      </c>
      <c r="C22" s="11">
        <v>19</v>
      </c>
      <c r="D22" s="10">
        <v>13</v>
      </c>
      <c r="E22" s="320" t="s">
        <v>106</v>
      </c>
      <c r="F22" s="323"/>
      <c r="G22" s="321"/>
      <c r="H22" s="9" t="s">
        <v>105</v>
      </c>
      <c r="I22" s="8" t="s">
        <v>104</v>
      </c>
      <c r="J22" s="7"/>
      <c r="K22" s="13" t="s">
        <v>103</v>
      </c>
      <c r="L22" s="5" t="s">
        <v>102</v>
      </c>
    </row>
    <row r="23" spans="1:12" ht="34.5" x14ac:dyDescent="0.25">
      <c r="A23" s="5" t="s">
        <v>101</v>
      </c>
      <c r="B23" s="10">
        <v>24</v>
      </c>
      <c r="C23" s="11">
        <v>20</v>
      </c>
      <c r="D23" s="10">
        <v>14</v>
      </c>
      <c r="E23" s="320" t="s">
        <v>100</v>
      </c>
      <c r="F23" s="323"/>
      <c r="G23" s="321"/>
      <c r="H23" s="9" t="s">
        <v>99</v>
      </c>
      <c r="I23" s="8" t="s">
        <v>98</v>
      </c>
      <c r="J23" s="7"/>
      <c r="K23" s="13" t="s">
        <v>97</v>
      </c>
      <c r="L23" s="12" t="s">
        <v>96</v>
      </c>
    </row>
    <row r="24" spans="1:12" ht="34.5" x14ac:dyDescent="0.25">
      <c r="A24" s="5" t="s">
        <v>95</v>
      </c>
      <c r="B24" s="10">
        <v>25</v>
      </c>
      <c r="C24" s="11">
        <v>21</v>
      </c>
      <c r="D24" s="10">
        <v>15</v>
      </c>
      <c r="E24" s="198" t="s">
        <v>94</v>
      </c>
      <c r="F24" s="320" t="s">
        <v>93</v>
      </c>
      <c r="G24" s="321"/>
      <c r="H24" s="9" t="s">
        <v>92</v>
      </c>
      <c r="I24" s="8" t="s">
        <v>91</v>
      </c>
      <c r="J24" s="7"/>
      <c r="K24" s="13" t="s">
        <v>90</v>
      </c>
      <c r="L24" s="12" t="s">
        <v>89</v>
      </c>
    </row>
    <row r="25" spans="1:12" ht="34.5" x14ac:dyDescent="0.25">
      <c r="A25" s="5" t="s">
        <v>88</v>
      </c>
      <c r="B25" s="10">
        <v>26</v>
      </c>
      <c r="C25" s="11">
        <v>22</v>
      </c>
      <c r="D25" s="10">
        <v>16</v>
      </c>
      <c r="E25" s="198" t="s">
        <v>87</v>
      </c>
      <c r="F25" s="320" t="s">
        <v>86</v>
      </c>
      <c r="G25" s="321"/>
      <c r="H25" s="9" t="s">
        <v>85</v>
      </c>
      <c r="I25" s="8" t="s">
        <v>84</v>
      </c>
      <c r="J25" s="7"/>
      <c r="K25" s="13" t="s">
        <v>83</v>
      </c>
      <c r="L25" s="12" t="s">
        <v>82</v>
      </c>
    </row>
    <row r="26" spans="1:12" ht="34.5" x14ac:dyDescent="0.25">
      <c r="A26" s="5" t="s">
        <v>81</v>
      </c>
      <c r="B26" s="10">
        <v>27</v>
      </c>
      <c r="C26" s="11">
        <v>23</v>
      </c>
      <c r="D26" s="10">
        <v>17</v>
      </c>
      <c r="E26" s="198" t="s">
        <v>80</v>
      </c>
      <c r="F26" s="320" t="s">
        <v>79</v>
      </c>
      <c r="G26" s="321"/>
      <c r="H26" s="9" t="s">
        <v>78</v>
      </c>
      <c r="I26" s="8" t="s">
        <v>77</v>
      </c>
      <c r="J26" s="7"/>
      <c r="K26" s="13" t="s">
        <v>76</v>
      </c>
      <c r="L26" s="12" t="s">
        <v>75</v>
      </c>
    </row>
    <row r="27" spans="1:12" ht="34.5" x14ac:dyDescent="0.25">
      <c r="A27" s="5" t="s">
        <v>74</v>
      </c>
      <c r="B27" s="10">
        <v>30</v>
      </c>
      <c r="C27" s="11">
        <v>24</v>
      </c>
      <c r="D27" s="10">
        <v>18</v>
      </c>
      <c r="E27" s="198" t="s">
        <v>73</v>
      </c>
      <c r="F27" s="320" t="s">
        <v>72</v>
      </c>
      <c r="G27" s="321"/>
      <c r="H27" s="9" t="s">
        <v>71</v>
      </c>
      <c r="I27" s="8" t="s">
        <v>70</v>
      </c>
      <c r="J27" s="7"/>
      <c r="K27" s="13" t="s">
        <v>69</v>
      </c>
      <c r="L27" s="12" t="s">
        <v>68</v>
      </c>
    </row>
    <row r="28" spans="1:12" ht="34.5" x14ac:dyDescent="0.25">
      <c r="A28" s="5" t="s">
        <v>67</v>
      </c>
      <c r="B28" s="10">
        <v>31</v>
      </c>
      <c r="C28" s="11">
        <v>25</v>
      </c>
      <c r="D28" s="10">
        <v>19</v>
      </c>
      <c r="E28" s="198" t="s">
        <v>66</v>
      </c>
      <c r="F28" s="320" t="s">
        <v>65</v>
      </c>
      <c r="G28" s="321"/>
      <c r="H28" s="9" t="s">
        <v>64</v>
      </c>
      <c r="I28" s="8" t="s">
        <v>63</v>
      </c>
      <c r="J28" s="7"/>
      <c r="K28" s="13" t="s">
        <v>62</v>
      </c>
      <c r="L28" s="12" t="s">
        <v>61</v>
      </c>
    </row>
    <row r="29" spans="1:12" ht="34.5" x14ac:dyDescent="0.25">
      <c r="A29" s="5" t="s">
        <v>60</v>
      </c>
      <c r="B29" s="10">
        <v>32</v>
      </c>
      <c r="C29" s="11">
        <v>26</v>
      </c>
      <c r="D29" s="10" t="s">
        <v>59</v>
      </c>
      <c r="E29" s="198" t="s">
        <v>58</v>
      </c>
      <c r="F29" s="198" t="s">
        <v>57</v>
      </c>
      <c r="G29" s="198" t="s">
        <v>56</v>
      </c>
      <c r="H29" s="9" t="s">
        <v>55</v>
      </c>
      <c r="I29" s="8" t="s">
        <v>54</v>
      </c>
      <c r="J29" s="7"/>
      <c r="K29" s="13" t="s">
        <v>53</v>
      </c>
      <c r="L29" s="12" t="s">
        <v>52</v>
      </c>
    </row>
    <row r="30" spans="1:12" ht="34.5" x14ac:dyDescent="0.25">
      <c r="A30" s="5" t="s">
        <v>51</v>
      </c>
      <c r="B30" s="10">
        <v>33</v>
      </c>
      <c r="C30" s="11">
        <v>27</v>
      </c>
      <c r="D30" s="10" t="s">
        <v>50</v>
      </c>
      <c r="E30" s="198" t="s">
        <v>49</v>
      </c>
      <c r="F30" s="320" t="s">
        <v>48</v>
      </c>
      <c r="G30" s="321"/>
      <c r="H30" s="9" t="s">
        <v>47</v>
      </c>
      <c r="I30" s="198" t="s">
        <v>46</v>
      </c>
      <c r="J30" s="198" t="s">
        <v>45</v>
      </c>
      <c r="K30" s="13" t="s">
        <v>44</v>
      </c>
      <c r="L30" s="5" t="s">
        <v>43</v>
      </c>
    </row>
    <row r="31" spans="1:12" ht="34.5" x14ac:dyDescent="0.25">
      <c r="A31" s="5" t="s">
        <v>42</v>
      </c>
      <c r="B31" s="10">
        <v>34</v>
      </c>
      <c r="C31" s="11">
        <v>28</v>
      </c>
      <c r="D31" s="10" t="s">
        <v>41</v>
      </c>
      <c r="E31" s="198" t="s">
        <v>40</v>
      </c>
      <c r="F31" s="320" t="s">
        <v>39</v>
      </c>
      <c r="G31" s="321"/>
      <c r="H31" s="9" t="s">
        <v>38</v>
      </c>
      <c r="I31" s="8" t="s">
        <v>37</v>
      </c>
      <c r="J31" s="7"/>
      <c r="K31" s="13" t="s">
        <v>36</v>
      </c>
      <c r="L31" s="12" t="s">
        <v>35</v>
      </c>
    </row>
    <row r="32" spans="1:12" ht="34.5" x14ac:dyDescent="0.25">
      <c r="A32" s="5" t="s">
        <v>34</v>
      </c>
      <c r="B32" s="10">
        <v>35</v>
      </c>
      <c r="C32" s="11">
        <v>29</v>
      </c>
      <c r="D32" s="10" t="s">
        <v>33</v>
      </c>
      <c r="E32" s="198" t="s">
        <v>32</v>
      </c>
      <c r="F32" s="320" t="s">
        <v>31</v>
      </c>
      <c r="G32" s="321"/>
      <c r="H32" s="9" t="s">
        <v>30</v>
      </c>
      <c r="I32" s="198" t="s">
        <v>29</v>
      </c>
      <c r="J32" s="7"/>
      <c r="K32" s="13" t="s">
        <v>28</v>
      </c>
      <c r="L32" s="12" t="s">
        <v>27</v>
      </c>
    </row>
    <row r="33" spans="1:12" ht="34.5" x14ac:dyDescent="0.25">
      <c r="A33" s="5" t="s">
        <v>26</v>
      </c>
      <c r="B33" s="10">
        <v>36</v>
      </c>
      <c r="C33" s="11">
        <v>30</v>
      </c>
      <c r="D33" s="10" t="s">
        <v>25</v>
      </c>
      <c r="E33" s="198" t="s">
        <v>24</v>
      </c>
      <c r="F33" s="320" t="s">
        <v>23</v>
      </c>
      <c r="G33" s="321"/>
      <c r="H33" s="9" t="s">
        <v>22</v>
      </c>
      <c r="I33" s="8" t="s">
        <v>21</v>
      </c>
      <c r="J33" s="7"/>
      <c r="K33" s="13" t="s">
        <v>20</v>
      </c>
      <c r="L33" s="12" t="s">
        <v>19</v>
      </c>
    </row>
    <row r="34" spans="1:12" ht="34.5" x14ac:dyDescent="0.25">
      <c r="A34" s="5" t="s">
        <v>18</v>
      </c>
      <c r="B34" s="10">
        <v>37</v>
      </c>
      <c r="C34" s="11">
        <v>31</v>
      </c>
      <c r="D34" s="10" t="s">
        <v>17</v>
      </c>
      <c r="E34" s="198" t="s">
        <v>16</v>
      </c>
      <c r="F34" s="320" t="s">
        <v>15</v>
      </c>
      <c r="G34" s="321"/>
      <c r="H34" s="9" t="s">
        <v>14</v>
      </c>
      <c r="I34" s="198" t="s">
        <v>13</v>
      </c>
      <c r="J34" s="7"/>
      <c r="K34" s="13" t="s">
        <v>12</v>
      </c>
      <c r="L34" s="12" t="s">
        <v>11</v>
      </c>
    </row>
    <row r="35" spans="1:12" ht="34.5" x14ac:dyDescent="0.25">
      <c r="A35" s="5" t="s">
        <v>10</v>
      </c>
      <c r="B35" s="10">
        <v>177</v>
      </c>
      <c r="C35" s="11">
        <v>127</v>
      </c>
      <c r="D35" s="10" t="s">
        <v>9</v>
      </c>
      <c r="E35" s="320" t="s">
        <v>8</v>
      </c>
      <c r="F35" s="323"/>
      <c r="G35" s="321"/>
      <c r="H35" s="9" t="s">
        <v>7</v>
      </c>
      <c r="I35" s="8" t="s">
        <v>6</v>
      </c>
      <c r="J35" s="7"/>
      <c r="K35" s="6" t="s">
        <v>5</v>
      </c>
      <c r="L35" s="5" t="s">
        <v>4</v>
      </c>
    </row>
    <row r="36" spans="1:12" x14ac:dyDescent="0.25">
      <c r="A36" s="4" t="s">
        <v>3</v>
      </c>
    </row>
    <row r="37" spans="1:12" ht="33.75" customHeight="1" x14ac:dyDescent="0.25">
      <c r="A37" s="326" t="s">
        <v>2</v>
      </c>
      <c r="B37" s="326"/>
      <c r="C37" s="326"/>
      <c r="D37" s="326"/>
      <c r="E37" s="326"/>
      <c r="F37" s="326"/>
      <c r="G37" s="326"/>
      <c r="H37" s="326"/>
      <c r="I37" s="326"/>
      <c r="J37" s="326"/>
      <c r="K37" s="326"/>
      <c r="L37" s="326"/>
    </row>
    <row r="38" spans="1:12" ht="33" customHeight="1" x14ac:dyDescent="0.25">
      <c r="A38" s="326" t="s">
        <v>1</v>
      </c>
      <c r="B38" s="326"/>
      <c r="C38" s="326"/>
      <c r="D38" s="326"/>
      <c r="E38" s="326"/>
      <c r="F38" s="326"/>
      <c r="G38" s="326"/>
      <c r="H38" s="326"/>
      <c r="I38" s="326"/>
      <c r="J38" s="326"/>
      <c r="K38" s="326"/>
      <c r="L38" s="326"/>
    </row>
    <row r="39" spans="1:12" ht="33.75" customHeight="1" x14ac:dyDescent="0.25">
      <c r="A39" s="326" t="s">
        <v>0</v>
      </c>
      <c r="B39" s="326"/>
      <c r="C39" s="326"/>
      <c r="D39" s="326"/>
      <c r="E39" s="326"/>
      <c r="F39" s="326"/>
      <c r="G39" s="326"/>
      <c r="H39" s="326"/>
      <c r="I39" s="326"/>
      <c r="J39" s="326"/>
      <c r="K39" s="326"/>
      <c r="L39" s="326"/>
    </row>
  </sheetData>
  <mergeCells count="45">
    <mergeCell ref="F28:G28"/>
    <mergeCell ref="F30:G30"/>
    <mergeCell ref="A37:L37"/>
    <mergeCell ref="A39:L39"/>
    <mergeCell ref="A38:L38"/>
    <mergeCell ref="F31:G31"/>
    <mergeCell ref="F32:G32"/>
    <mergeCell ref="F33:G33"/>
    <mergeCell ref="F34:G34"/>
    <mergeCell ref="E35:G35"/>
    <mergeCell ref="E18:G18"/>
    <mergeCell ref="F19:G19"/>
    <mergeCell ref="E20:G20"/>
    <mergeCell ref="E21:G21"/>
    <mergeCell ref="E22:G22"/>
    <mergeCell ref="E23:G23"/>
    <mergeCell ref="F24:G24"/>
    <mergeCell ref="F25:G25"/>
    <mergeCell ref="F26:G26"/>
    <mergeCell ref="F27:G27"/>
    <mergeCell ref="F8:G8"/>
    <mergeCell ref="F9:G9"/>
    <mergeCell ref="F10:G10"/>
    <mergeCell ref="F11:G11"/>
    <mergeCell ref="F12:G12"/>
    <mergeCell ref="E13:G13"/>
    <mergeCell ref="F14:G14"/>
    <mergeCell ref="E15:G15"/>
    <mergeCell ref="E16:G16"/>
    <mergeCell ref="E17:G17"/>
    <mergeCell ref="F4:G4"/>
    <mergeCell ref="F5:G5"/>
    <mergeCell ref="K1:K2"/>
    <mergeCell ref="F6:G6"/>
    <mergeCell ref="E7:G7"/>
    <mergeCell ref="H1:H2"/>
    <mergeCell ref="I1:I2"/>
    <mergeCell ref="J1:J2"/>
    <mergeCell ref="L1:L2"/>
    <mergeCell ref="F3:G3"/>
    <mergeCell ref="A1:A2"/>
    <mergeCell ref="B1:B2"/>
    <mergeCell ref="C1:C2"/>
    <mergeCell ref="D1:D2"/>
    <mergeCell ref="E1:G1"/>
  </mergeCell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262"/>
  <sheetViews>
    <sheetView workbookViewId="0">
      <selection activeCell="O4" sqref="O4:O13"/>
    </sheetView>
  </sheetViews>
  <sheetFormatPr defaultRowHeight="15.75" x14ac:dyDescent="0.25"/>
  <cols>
    <col min="1" max="1" width="10.140625" style="21" customWidth="1"/>
    <col min="2" max="9" width="6.140625" style="21" customWidth="1"/>
    <col min="10" max="10" width="12.140625" style="21" customWidth="1"/>
    <col min="11" max="11" width="14.140625" style="21" bestFit="1" customWidth="1"/>
    <col min="12" max="12" width="11.140625" style="21" customWidth="1"/>
    <col min="13" max="13" width="9.140625" style="21"/>
    <col min="14" max="14" width="11.140625" style="21" bestFit="1" customWidth="1"/>
    <col min="15" max="15" width="7.42578125" style="21" bestFit="1" customWidth="1"/>
    <col min="16" max="16" width="17.28515625" style="21" bestFit="1" customWidth="1"/>
    <col min="17" max="17" width="19.5703125" style="21" bestFit="1" customWidth="1"/>
    <col min="18" max="18" width="23.140625" style="21" bestFit="1" customWidth="1"/>
    <col min="19" max="16384" width="9.140625" style="21"/>
  </cols>
  <sheetData>
    <row r="1" spans="1:18" ht="16.5" thickBot="1" x14ac:dyDescent="0.3">
      <c r="A1" s="329" t="s">
        <v>267</v>
      </c>
      <c r="B1" s="329"/>
      <c r="C1" s="329"/>
      <c r="D1" s="329"/>
      <c r="E1" s="329"/>
      <c r="F1" s="329"/>
      <c r="G1" s="329"/>
      <c r="H1" s="329"/>
      <c r="I1" s="329"/>
      <c r="N1" s="327" t="s">
        <v>266</v>
      </c>
      <c r="O1" s="327"/>
      <c r="P1" s="327"/>
      <c r="Q1" s="327"/>
      <c r="R1" s="327"/>
    </row>
    <row r="2" spans="1:18" ht="16.5" thickBot="1" x14ac:dyDescent="0.3">
      <c r="A2" s="70"/>
      <c r="B2" s="69"/>
      <c r="C2" s="69"/>
      <c r="D2" s="69"/>
      <c r="E2" s="69"/>
      <c r="F2" s="69"/>
      <c r="G2" s="69"/>
      <c r="H2" s="69"/>
      <c r="I2" s="69"/>
      <c r="J2" s="69"/>
      <c r="K2" s="69"/>
      <c r="L2" s="68"/>
      <c r="N2" s="67"/>
      <c r="O2" s="66" t="s">
        <v>258</v>
      </c>
      <c r="P2" s="65" t="s">
        <v>265</v>
      </c>
      <c r="Q2" s="65" t="s">
        <v>259</v>
      </c>
      <c r="R2" s="64" t="s">
        <v>264</v>
      </c>
    </row>
    <row r="3" spans="1:18" ht="16.5" thickBot="1" x14ac:dyDescent="0.3">
      <c r="A3" s="63"/>
      <c r="B3" s="62">
        <v>128</v>
      </c>
      <c r="C3" s="61">
        <v>64</v>
      </c>
      <c r="D3" s="61">
        <v>32</v>
      </c>
      <c r="E3" s="61">
        <v>16</v>
      </c>
      <c r="F3" s="61">
        <v>8</v>
      </c>
      <c r="G3" s="61">
        <v>4</v>
      </c>
      <c r="H3" s="61">
        <v>2</v>
      </c>
      <c r="I3" s="60">
        <v>1</v>
      </c>
      <c r="J3" s="55"/>
      <c r="K3" s="335" t="s">
        <v>263</v>
      </c>
      <c r="L3" s="336"/>
      <c r="N3" s="59" t="s">
        <v>262</v>
      </c>
      <c r="O3" s="58">
        <v>2</v>
      </c>
      <c r="P3" s="57">
        <v>8</v>
      </c>
      <c r="Q3" s="57">
        <v>10</v>
      </c>
      <c r="R3" s="56">
        <v>16</v>
      </c>
    </row>
    <row r="4" spans="1:18" ht="16.5" thickBot="1" x14ac:dyDescent="0.3">
      <c r="A4" s="333" t="s">
        <v>261</v>
      </c>
      <c r="B4" s="328" t="s">
        <v>260</v>
      </c>
      <c r="C4" s="328"/>
      <c r="D4" s="328"/>
      <c r="E4" s="328"/>
      <c r="F4" s="328"/>
      <c r="G4" s="328"/>
      <c r="H4" s="328"/>
      <c r="I4" s="328"/>
      <c r="J4" s="55"/>
      <c r="K4" s="54" t="s">
        <v>259</v>
      </c>
      <c r="L4" s="53" t="s">
        <v>255</v>
      </c>
      <c r="N4" s="52">
        <v>0</v>
      </c>
      <c r="O4" s="51">
        <f t="shared" ref="O4:O19" si="0">$O$3^N4</f>
        <v>1</v>
      </c>
      <c r="P4" s="50">
        <f t="shared" ref="P4:P19" si="1">$P$3^N4</f>
        <v>1</v>
      </c>
      <c r="Q4" s="50">
        <f t="shared" ref="Q4:Q19" si="2">$Q$3^N4</f>
        <v>1</v>
      </c>
      <c r="R4" s="49">
        <f t="shared" ref="R4:R19" si="3">$R$3^N4</f>
        <v>1</v>
      </c>
    </row>
    <row r="5" spans="1:18" ht="16.5" thickBot="1" x14ac:dyDescent="0.3">
      <c r="A5" s="334"/>
      <c r="B5" s="48">
        <v>0</v>
      </c>
      <c r="C5" s="47">
        <v>1</v>
      </c>
      <c r="D5" s="47">
        <v>0</v>
      </c>
      <c r="E5" s="47">
        <v>1</v>
      </c>
      <c r="F5" s="47">
        <v>0</v>
      </c>
      <c r="G5" s="47">
        <v>1</v>
      </c>
      <c r="H5" s="47">
        <v>0</v>
      </c>
      <c r="I5" s="46">
        <v>1</v>
      </c>
      <c r="J5" s="45"/>
      <c r="K5" s="44">
        <f>(B5*$B$3) + (C5*$C$3) + (D5*$D$3) + (E5*$E$3) + (F5*$F$3) + (G5*$G$3) + (H5*$H$3) + (I5*$I$3)</f>
        <v>85</v>
      </c>
      <c r="L5" s="43" t="str">
        <f>"0x"&amp;DEC2HEX(K5)</f>
        <v>0x55</v>
      </c>
      <c r="N5" s="38">
        <v>1</v>
      </c>
      <c r="O5" s="37">
        <f t="shared" si="0"/>
        <v>2</v>
      </c>
      <c r="P5" s="36">
        <f t="shared" si="1"/>
        <v>8</v>
      </c>
      <c r="Q5" s="36">
        <f t="shared" si="2"/>
        <v>10</v>
      </c>
      <c r="R5" s="35">
        <f t="shared" si="3"/>
        <v>16</v>
      </c>
    </row>
    <row r="6" spans="1:18" ht="16.5" thickBot="1" x14ac:dyDescent="0.3">
      <c r="A6" s="42" t="s">
        <v>259</v>
      </c>
      <c r="B6" s="330" t="s">
        <v>258</v>
      </c>
      <c r="C6" s="331"/>
      <c r="D6" s="331"/>
      <c r="E6" s="331"/>
      <c r="F6" s="331"/>
      <c r="G6" s="331"/>
      <c r="H6" s="331"/>
      <c r="I6" s="332"/>
      <c r="J6" s="330" t="s">
        <v>255</v>
      </c>
      <c r="K6" s="332"/>
      <c r="N6" s="38">
        <v>2</v>
      </c>
      <c r="O6" s="37">
        <f t="shared" si="0"/>
        <v>4</v>
      </c>
      <c r="P6" s="36">
        <f t="shared" si="1"/>
        <v>64</v>
      </c>
      <c r="Q6" s="36">
        <f t="shared" si="2"/>
        <v>100</v>
      </c>
      <c r="R6" s="35">
        <f t="shared" si="3"/>
        <v>256</v>
      </c>
    </row>
    <row r="7" spans="1:18" ht="16.5" thickBot="1" x14ac:dyDescent="0.3">
      <c r="A7" s="22">
        <v>0</v>
      </c>
      <c r="B7" s="41">
        <v>0</v>
      </c>
      <c r="C7" s="40">
        <v>0</v>
      </c>
      <c r="D7" s="40">
        <v>0</v>
      </c>
      <c r="E7" s="40">
        <v>0</v>
      </c>
      <c r="F7" s="40">
        <v>0</v>
      </c>
      <c r="G7" s="40">
        <v>0</v>
      </c>
      <c r="H7" s="40">
        <v>0</v>
      </c>
      <c r="I7" s="39">
        <v>0</v>
      </c>
      <c r="J7" s="22" t="str">
        <f t="shared" ref="J7:J70" si="4">"0x"&amp;LEFT("00", 2-LEN(DEC2HEX(A7)))&amp;DEC2HEX(A7)</f>
        <v>0x00</v>
      </c>
      <c r="K7" s="22" t="str">
        <f t="shared" ref="K7:K70" si="5">"#H"&amp;LEFT("00", 2-LEN(DEC2HEX(A7)))&amp;DEC2HEX(A7) &amp;"#"</f>
        <v>#H00#</v>
      </c>
      <c r="N7" s="38">
        <v>3</v>
      </c>
      <c r="O7" s="37">
        <f t="shared" si="0"/>
        <v>8</v>
      </c>
      <c r="P7" s="36">
        <f t="shared" si="1"/>
        <v>512</v>
      </c>
      <c r="Q7" s="36">
        <f t="shared" si="2"/>
        <v>1000</v>
      </c>
      <c r="R7" s="35">
        <f t="shared" si="3"/>
        <v>4096</v>
      </c>
    </row>
    <row r="8" spans="1:18" ht="16.5" thickBot="1" x14ac:dyDescent="0.3">
      <c r="A8" s="27">
        <v>1</v>
      </c>
      <c r="B8" s="30">
        <v>0</v>
      </c>
      <c r="C8" s="29">
        <v>0</v>
      </c>
      <c r="D8" s="29">
        <v>0</v>
      </c>
      <c r="E8" s="29">
        <v>0</v>
      </c>
      <c r="F8" s="29">
        <v>0</v>
      </c>
      <c r="G8" s="29">
        <v>0</v>
      </c>
      <c r="H8" s="29">
        <v>0</v>
      </c>
      <c r="I8" s="28">
        <v>1</v>
      </c>
      <c r="J8" s="27" t="str">
        <f t="shared" si="4"/>
        <v>0x01</v>
      </c>
      <c r="K8" s="22" t="str">
        <f t="shared" si="5"/>
        <v>#H01#</v>
      </c>
      <c r="N8" s="38">
        <v>4</v>
      </c>
      <c r="O8" s="37">
        <f t="shared" si="0"/>
        <v>16</v>
      </c>
      <c r="P8" s="36">
        <f t="shared" si="1"/>
        <v>4096</v>
      </c>
      <c r="Q8" s="36">
        <f t="shared" si="2"/>
        <v>10000</v>
      </c>
      <c r="R8" s="35">
        <f t="shared" si="3"/>
        <v>65536</v>
      </c>
    </row>
    <row r="9" spans="1:18" ht="16.5" thickBot="1" x14ac:dyDescent="0.3">
      <c r="A9" s="27">
        <v>2</v>
      </c>
      <c r="B9" s="30">
        <v>0</v>
      </c>
      <c r="C9" s="29">
        <v>0</v>
      </c>
      <c r="D9" s="29">
        <v>0</v>
      </c>
      <c r="E9" s="29">
        <v>0</v>
      </c>
      <c r="F9" s="29">
        <v>0</v>
      </c>
      <c r="G9" s="29">
        <v>0</v>
      </c>
      <c r="H9" s="29">
        <v>1</v>
      </c>
      <c r="I9" s="28">
        <v>0</v>
      </c>
      <c r="J9" s="27" t="str">
        <f t="shared" si="4"/>
        <v>0x02</v>
      </c>
      <c r="K9" s="22" t="str">
        <f t="shared" si="5"/>
        <v>#H02#</v>
      </c>
      <c r="N9" s="38">
        <v>5</v>
      </c>
      <c r="O9" s="37">
        <f t="shared" si="0"/>
        <v>32</v>
      </c>
      <c r="P9" s="36">
        <f t="shared" si="1"/>
        <v>32768</v>
      </c>
      <c r="Q9" s="36">
        <f t="shared" si="2"/>
        <v>100000</v>
      </c>
      <c r="R9" s="35">
        <f t="shared" si="3"/>
        <v>1048576</v>
      </c>
    </row>
    <row r="10" spans="1:18" ht="16.5" thickBot="1" x14ac:dyDescent="0.3">
      <c r="A10" s="27">
        <v>3</v>
      </c>
      <c r="B10" s="30">
        <v>0</v>
      </c>
      <c r="C10" s="29">
        <v>0</v>
      </c>
      <c r="D10" s="29">
        <v>0</v>
      </c>
      <c r="E10" s="29">
        <v>0</v>
      </c>
      <c r="F10" s="29">
        <v>0</v>
      </c>
      <c r="G10" s="29">
        <v>0</v>
      </c>
      <c r="H10" s="29">
        <v>1</v>
      </c>
      <c r="I10" s="28">
        <v>1</v>
      </c>
      <c r="J10" s="27" t="str">
        <f t="shared" si="4"/>
        <v>0x03</v>
      </c>
      <c r="K10" s="22" t="str">
        <f t="shared" si="5"/>
        <v>#H03#</v>
      </c>
      <c r="N10" s="38">
        <v>6</v>
      </c>
      <c r="O10" s="37">
        <f t="shared" si="0"/>
        <v>64</v>
      </c>
      <c r="P10" s="36">
        <f t="shared" si="1"/>
        <v>262144</v>
      </c>
      <c r="Q10" s="36">
        <f t="shared" si="2"/>
        <v>1000000</v>
      </c>
      <c r="R10" s="35">
        <f t="shared" si="3"/>
        <v>16777216</v>
      </c>
    </row>
    <row r="11" spans="1:18" ht="16.5" thickBot="1" x14ac:dyDescent="0.3">
      <c r="A11" s="27">
        <v>4</v>
      </c>
      <c r="B11" s="30">
        <v>0</v>
      </c>
      <c r="C11" s="29">
        <v>0</v>
      </c>
      <c r="D11" s="29">
        <v>0</v>
      </c>
      <c r="E11" s="29">
        <v>0</v>
      </c>
      <c r="F11" s="29">
        <v>0</v>
      </c>
      <c r="G11" s="29">
        <v>1</v>
      </c>
      <c r="H11" s="29">
        <v>0</v>
      </c>
      <c r="I11" s="28">
        <v>0</v>
      </c>
      <c r="J11" s="27" t="str">
        <f t="shared" si="4"/>
        <v>0x04</v>
      </c>
      <c r="K11" s="22" t="str">
        <f t="shared" si="5"/>
        <v>#H04#</v>
      </c>
      <c r="N11" s="38">
        <v>7</v>
      </c>
      <c r="O11" s="37">
        <f t="shared" si="0"/>
        <v>128</v>
      </c>
      <c r="P11" s="36">
        <f t="shared" si="1"/>
        <v>2097152</v>
      </c>
      <c r="Q11" s="36">
        <f t="shared" si="2"/>
        <v>10000000</v>
      </c>
      <c r="R11" s="35">
        <f t="shared" si="3"/>
        <v>268435456</v>
      </c>
    </row>
    <row r="12" spans="1:18" ht="16.5" thickBot="1" x14ac:dyDescent="0.3">
      <c r="A12" s="27">
        <v>5</v>
      </c>
      <c r="B12" s="30">
        <v>0</v>
      </c>
      <c r="C12" s="29">
        <v>0</v>
      </c>
      <c r="D12" s="29">
        <v>0</v>
      </c>
      <c r="E12" s="29">
        <v>0</v>
      </c>
      <c r="F12" s="29">
        <v>0</v>
      </c>
      <c r="G12" s="29">
        <v>1</v>
      </c>
      <c r="H12" s="29">
        <v>0</v>
      </c>
      <c r="I12" s="28">
        <v>1</v>
      </c>
      <c r="J12" s="27" t="str">
        <f t="shared" si="4"/>
        <v>0x05</v>
      </c>
      <c r="K12" s="22" t="str">
        <f t="shared" si="5"/>
        <v>#H05#</v>
      </c>
      <c r="N12" s="38">
        <v>8</v>
      </c>
      <c r="O12" s="37">
        <f t="shared" si="0"/>
        <v>256</v>
      </c>
      <c r="P12" s="36">
        <f t="shared" si="1"/>
        <v>16777216</v>
      </c>
      <c r="Q12" s="36">
        <f t="shared" si="2"/>
        <v>100000000</v>
      </c>
      <c r="R12" s="35">
        <f t="shared" si="3"/>
        <v>4294967296</v>
      </c>
    </row>
    <row r="13" spans="1:18" ht="16.5" thickBot="1" x14ac:dyDescent="0.3">
      <c r="A13" s="27">
        <v>6</v>
      </c>
      <c r="B13" s="30">
        <v>0</v>
      </c>
      <c r="C13" s="29">
        <v>0</v>
      </c>
      <c r="D13" s="29">
        <v>0</v>
      </c>
      <c r="E13" s="29">
        <v>0</v>
      </c>
      <c r="F13" s="29">
        <v>0</v>
      </c>
      <c r="G13" s="29">
        <v>1</v>
      </c>
      <c r="H13" s="29">
        <v>1</v>
      </c>
      <c r="I13" s="28">
        <v>0</v>
      </c>
      <c r="J13" s="27" t="str">
        <f t="shared" si="4"/>
        <v>0x06</v>
      </c>
      <c r="K13" s="22" t="str">
        <f t="shared" si="5"/>
        <v>#H06#</v>
      </c>
      <c r="N13" s="38">
        <v>9</v>
      </c>
      <c r="O13" s="37">
        <f t="shared" si="0"/>
        <v>512</v>
      </c>
      <c r="P13" s="36">
        <f t="shared" si="1"/>
        <v>134217728</v>
      </c>
      <c r="Q13" s="36">
        <f t="shared" si="2"/>
        <v>1000000000</v>
      </c>
      <c r="R13" s="35">
        <f t="shared" si="3"/>
        <v>68719476736</v>
      </c>
    </row>
    <row r="14" spans="1:18" ht="16.5" thickBot="1" x14ac:dyDescent="0.3">
      <c r="A14" s="27">
        <v>7</v>
      </c>
      <c r="B14" s="30">
        <v>0</v>
      </c>
      <c r="C14" s="29">
        <v>0</v>
      </c>
      <c r="D14" s="29">
        <v>0</v>
      </c>
      <c r="E14" s="29">
        <v>0</v>
      </c>
      <c r="F14" s="29">
        <v>0</v>
      </c>
      <c r="G14" s="29">
        <v>1</v>
      </c>
      <c r="H14" s="29">
        <v>1</v>
      </c>
      <c r="I14" s="28">
        <v>1</v>
      </c>
      <c r="J14" s="27" t="str">
        <f t="shared" si="4"/>
        <v>0x07</v>
      </c>
      <c r="K14" s="22" t="str">
        <f t="shared" si="5"/>
        <v>#H07#</v>
      </c>
      <c r="N14" s="38">
        <v>10</v>
      </c>
      <c r="O14" s="37">
        <f t="shared" si="0"/>
        <v>1024</v>
      </c>
      <c r="P14" s="36">
        <f t="shared" si="1"/>
        <v>1073741824</v>
      </c>
      <c r="Q14" s="36">
        <f t="shared" si="2"/>
        <v>10000000000</v>
      </c>
      <c r="R14" s="35">
        <f t="shared" si="3"/>
        <v>1099511627776</v>
      </c>
    </row>
    <row r="15" spans="1:18" ht="16.5" thickBot="1" x14ac:dyDescent="0.3">
      <c r="A15" s="27">
        <v>8</v>
      </c>
      <c r="B15" s="30">
        <v>0</v>
      </c>
      <c r="C15" s="29">
        <v>0</v>
      </c>
      <c r="D15" s="29">
        <v>0</v>
      </c>
      <c r="E15" s="29">
        <v>0</v>
      </c>
      <c r="F15" s="29">
        <v>1</v>
      </c>
      <c r="G15" s="29">
        <v>0</v>
      </c>
      <c r="H15" s="29">
        <v>0</v>
      </c>
      <c r="I15" s="28">
        <v>0</v>
      </c>
      <c r="J15" s="27" t="str">
        <f t="shared" si="4"/>
        <v>0x08</v>
      </c>
      <c r="K15" s="22" t="str">
        <f t="shared" si="5"/>
        <v>#H08#</v>
      </c>
      <c r="N15" s="38">
        <v>11</v>
      </c>
      <c r="O15" s="37">
        <f t="shared" si="0"/>
        <v>2048</v>
      </c>
      <c r="P15" s="36">
        <f t="shared" si="1"/>
        <v>8589934592</v>
      </c>
      <c r="Q15" s="36">
        <f t="shared" si="2"/>
        <v>100000000000</v>
      </c>
      <c r="R15" s="35">
        <f t="shared" si="3"/>
        <v>17592186044416</v>
      </c>
    </row>
    <row r="16" spans="1:18" ht="16.5" thickBot="1" x14ac:dyDescent="0.3">
      <c r="A16" s="27">
        <v>9</v>
      </c>
      <c r="B16" s="30">
        <v>0</v>
      </c>
      <c r="C16" s="29">
        <v>0</v>
      </c>
      <c r="D16" s="29">
        <v>0</v>
      </c>
      <c r="E16" s="29">
        <v>0</v>
      </c>
      <c r="F16" s="29">
        <v>1</v>
      </c>
      <c r="G16" s="29">
        <v>0</v>
      </c>
      <c r="H16" s="29">
        <v>0</v>
      </c>
      <c r="I16" s="28">
        <v>1</v>
      </c>
      <c r="J16" s="27" t="str">
        <f t="shared" si="4"/>
        <v>0x09</v>
      </c>
      <c r="K16" s="22" t="str">
        <f t="shared" si="5"/>
        <v>#H09#</v>
      </c>
      <c r="N16" s="38">
        <v>12</v>
      </c>
      <c r="O16" s="37">
        <f t="shared" si="0"/>
        <v>4096</v>
      </c>
      <c r="P16" s="36">
        <f t="shared" si="1"/>
        <v>68719476736</v>
      </c>
      <c r="Q16" s="36">
        <f t="shared" si="2"/>
        <v>1000000000000</v>
      </c>
      <c r="R16" s="35">
        <f t="shared" si="3"/>
        <v>281474976710656</v>
      </c>
    </row>
    <row r="17" spans="1:18" ht="16.5" thickBot="1" x14ac:dyDescent="0.3">
      <c r="A17" s="27">
        <v>10</v>
      </c>
      <c r="B17" s="30">
        <v>0</v>
      </c>
      <c r="C17" s="29">
        <v>0</v>
      </c>
      <c r="D17" s="29">
        <v>0</v>
      </c>
      <c r="E17" s="29">
        <v>0</v>
      </c>
      <c r="F17" s="29">
        <v>1</v>
      </c>
      <c r="G17" s="29">
        <v>0</v>
      </c>
      <c r="H17" s="29">
        <v>1</v>
      </c>
      <c r="I17" s="28">
        <v>0</v>
      </c>
      <c r="J17" s="27" t="str">
        <f t="shared" si="4"/>
        <v>0x0A</v>
      </c>
      <c r="K17" s="22" t="str">
        <f t="shared" si="5"/>
        <v>#H0A#</v>
      </c>
      <c r="N17" s="38">
        <v>13</v>
      </c>
      <c r="O17" s="37">
        <f t="shared" si="0"/>
        <v>8192</v>
      </c>
      <c r="P17" s="36">
        <f t="shared" si="1"/>
        <v>549755813888</v>
      </c>
      <c r="Q17" s="36">
        <f t="shared" si="2"/>
        <v>10000000000000</v>
      </c>
      <c r="R17" s="35">
        <f t="shared" si="3"/>
        <v>4503599627370496</v>
      </c>
    </row>
    <row r="18" spans="1:18" ht="16.5" thickBot="1" x14ac:dyDescent="0.3">
      <c r="A18" s="27">
        <v>11</v>
      </c>
      <c r="B18" s="30">
        <v>0</v>
      </c>
      <c r="C18" s="29">
        <v>0</v>
      </c>
      <c r="D18" s="29">
        <v>0</v>
      </c>
      <c r="E18" s="29">
        <v>0</v>
      </c>
      <c r="F18" s="29">
        <v>1</v>
      </c>
      <c r="G18" s="29">
        <v>0</v>
      </c>
      <c r="H18" s="29">
        <v>1</v>
      </c>
      <c r="I18" s="28">
        <v>1</v>
      </c>
      <c r="J18" s="27" t="str">
        <f t="shared" si="4"/>
        <v>0x0B</v>
      </c>
      <c r="K18" s="22" t="str">
        <f t="shared" si="5"/>
        <v>#H0B#</v>
      </c>
      <c r="N18" s="38">
        <v>14</v>
      </c>
      <c r="O18" s="37">
        <f t="shared" si="0"/>
        <v>16384</v>
      </c>
      <c r="P18" s="36">
        <f t="shared" si="1"/>
        <v>4398046511104</v>
      </c>
      <c r="Q18" s="36">
        <f t="shared" si="2"/>
        <v>100000000000000</v>
      </c>
      <c r="R18" s="35">
        <f t="shared" si="3"/>
        <v>7.2057594037927936E+16</v>
      </c>
    </row>
    <row r="19" spans="1:18" ht="16.5" thickBot="1" x14ac:dyDescent="0.3">
      <c r="A19" s="27">
        <v>12</v>
      </c>
      <c r="B19" s="30">
        <v>0</v>
      </c>
      <c r="C19" s="29">
        <v>0</v>
      </c>
      <c r="D19" s="29">
        <v>0</v>
      </c>
      <c r="E19" s="29">
        <v>0</v>
      </c>
      <c r="F19" s="29">
        <v>1</v>
      </c>
      <c r="G19" s="29">
        <v>1</v>
      </c>
      <c r="H19" s="29">
        <v>0</v>
      </c>
      <c r="I19" s="28">
        <v>0</v>
      </c>
      <c r="J19" s="27" t="str">
        <f t="shared" si="4"/>
        <v>0x0C</v>
      </c>
      <c r="K19" s="22" t="str">
        <f t="shared" si="5"/>
        <v>#H0C#</v>
      </c>
      <c r="N19" s="34">
        <v>15</v>
      </c>
      <c r="O19" s="33">
        <f t="shared" si="0"/>
        <v>32768</v>
      </c>
      <c r="P19" s="32">
        <f t="shared" si="1"/>
        <v>35184372088832</v>
      </c>
      <c r="Q19" s="32">
        <f t="shared" si="2"/>
        <v>1000000000000000</v>
      </c>
      <c r="R19" s="31">
        <f t="shared" si="3"/>
        <v>1.152921504606847E+18</v>
      </c>
    </row>
    <row r="20" spans="1:18" ht="16.5" thickBot="1" x14ac:dyDescent="0.3">
      <c r="A20" s="27">
        <v>13</v>
      </c>
      <c r="B20" s="30">
        <v>0</v>
      </c>
      <c r="C20" s="29">
        <v>0</v>
      </c>
      <c r="D20" s="29">
        <v>0</v>
      </c>
      <c r="E20" s="29">
        <v>0</v>
      </c>
      <c r="F20" s="29">
        <v>1</v>
      </c>
      <c r="G20" s="29">
        <v>1</v>
      </c>
      <c r="H20" s="29">
        <v>0</v>
      </c>
      <c r="I20" s="28">
        <v>1</v>
      </c>
      <c r="J20" s="27" t="str">
        <f t="shared" si="4"/>
        <v>0x0D</v>
      </c>
      <c r="K20" s="22" t="str">
        <f t="shared" si="5"/>
        <v>#H0D#</v>
      </c>
    </row>
    <row r="21" spans="1:18" ht="16.5" thickBot="1" x14ac:dyDescent="0.3">
      <c r="A21" s="27">
        <v>14</v>
      </c>
      <c r="B21" s="30">
        <v>0</v>
      </c>
      <c r="C21" s="29">
        <v>0</v>
      </c>
      <c r="D21" s="29">
        <v>0</v>
      </c>
      <c r="E21" s="29">
        <v>0</v>
      </c>
      <c r="F21" s="29">
        <v>1</v>
      </c>
      <c r="G21" s="29">
        <v>1</v>
      </c>
      <c r="H21" s="29">
        <v>1</v>
      </c>
      <c r="I21" s="28">
        <v>0</v>
      </c>
      <c r="J21" s="27" t="str">
        <f t="shared" si="4"/>
        <v>0x0E</v>
      </c>
      <c r="K21" s="22" t="str">
        <f t="shared" si="5"/>
        <v>#H0E#</v>
      </c>
    </row>
    <row r="22" spans="1:18" ht="16.5" thickBot="1" x14ac:dyDescent="0.3">
      <c r="A22" s="27">
        <v>15</v>
      </c>
      <c r="B22" s="30">
        <v>0</v>
      </c>
      <c r="C22" s="29">
        <v>0</v>
      </c>
      <c r="D22" s="29">
        <v>0</v>
      </c>
      <c r="E22" s="29">
        <v>0</v>
      </c>
      <c r="F22" s="29">
        <v>1</v>
      </c>
      <c r="G22" s="29">
        <v>1</v>
      </c>
      <c r="H22" s="29">
        <v>1</v>
      </c>
      <c r="I22" s="28">
        <v>1</v>
      </c>
      <c r="J22" s="27" t="str">
        <f t="shared" si="4"/>
        <v>0x0F</v>
      </c>
      <c r="K22" s="22" t="str">
        <f t="shared" si="5"/>
        <v>#H0F#</v>
      </c>
    </row>
    <row r="23" spans="1:18" ht="16.5" thickBot="1" x14ac:dyDescent="0.3">
      <c r="A23" s="27">
        <v>16</v>
      </c>
      <c r="B23" s="30">
        <v>0</v>
      </c>
      <c r="C23" s="29">
        <v>0</v>
      </c>
      <c r="D23" s="29">
        <v>0</v>
      </c>
      <c r="E23" s="29">
        <v>1</v>
      </c>
      <c r="F23" s="29">
        <v>0</v>
      </c>
      <c r="G23" s="29">
        <v>0</v>
      </c>
      <c r="H23" s="29">
        <v>0</v>
      </c>
      <c r="I23" s="28">
        <v>0</v>
      </c>
      <c r="J23" s="27" t="str">
        <f t="shared" si="4"/>
        <v>0x10</v>
      </c>
      <c r="K23" s="22" t="str">
        <f t="shared" si="5"/>
        <v>#H10#</v>
      </c>
    </row>
    <row r="24" spans="1:18" ht="16.5" thickBot="1" x14ac:dyDescent="0.3">
      <c r="A24" s="27">
        <v>17</v>
      </c>
      <c r="B24" s="30">
        <v>0</v>
      </c>
      <c r="C24" s="29">
        <v>0</v>
      </c>
      <c r="D24" s="29">
        <v>0</v>
      </c>
      <c r="E24" s="29">
        <v>1</v>
      </c>
      <c r="F24" s="29">
        <v>0</v>
      </c>
      <c r="G24" s="29">
        <v>0</v>
      </c>
      <c r="H24" s="29">
        <v>0</v>
      </c>
      <c r="I24" s="28">
        <v>1</v>
      </c>
      <c r="J24" s="27" t="str">
        <f t="shared" si="4"/>
        <v>0x11</v>
      </c>
      <c r="K24" s="22" t="str">
        <f t="shared" si="5"/>
        <v>#H11#</v>
      </c>
    </row>
    <row r="25" spans="1:18" ht="16.5" thickBot="1" x14ac:dyDescent="0.3">
      <c r="A25" s="27">
        <v>18</v>
      </c>
      <c r="B25" s="30">
        <v>0</v>
      </c>
      <c r="C25" s="29">
        <v>0</v>
      </c>
      <c r="D25" s="29">
        <v>0</v>
      </c>
      <c r="E25" s="29">
        <v>1</v>
      </c>
      <c r="F25" s="29">
        <v>0</v>
      </c>
      <c r="G25" s="29">
        <v>0</v>
      </c>
      <c r="H25" s="29">
        <v>1</v>
      </c>
      <c r="I25" s="28">
        <v>0</v>
      </c>
      <c r="J25" s="27" t="str">
        <f t="shared" si="4"/>
        <v>0x12</v>
      </c>
      <c r="K25" s="22" t="str">
        <f t="shared" si="5"/>
        <v>#H12#</v>
      </c>
    </row>
    <row r="26" spans="1:18" ht="16.5" thickBot="1" x14ac:dyDescent="0.3">
      <c r="A26" s="27">
        <v>19</v>
      </c>
      <c r="B26" s="30">
        <v>0</v>
      </c>
      <c r="C26" s="29">
        <v>0</v>
      </c>
      <c r="D26" s="29">
        <v>0</v>
      </c>
      <c r="E26" s="29">
        <v>1</v>
      </c>
      <c r="F26" s="29">
        <v>0</v>
      </c>
      <c r="G26" s="29">
        <v>0</v>
      </c>
      <c r="H26" s="29">
        <v>1</v>
      </c>
      <c r="I26" s="28">
        <v>1</v>
      </c>
      <c r="J26" s="27" t="str">
        <f t="shared" si="4"/>
        <v>0x13</v>
      </c>
      <c r="K26" s="22" t="str">
        <f t="shared" si="5"/>
        <v>#H13#</v>
      </c>
    </row>
    <row r="27" spans="1:18" ht="16.5" thickBot="1" x14ac:dyDescent="0.3">
      <c r="A27" s="27">
        <v>20</v>
      </c>
      <c r="B27" s="30">
        <v>0</v>
      </c>
      <c r="C27" s="29">
        <v>0</v>
      </c>
      <c r="D27" s="29">
        <v>0</v>
      </c>
      <c r="E27" s="29">
        <v>1</v>
      </c>
      <c r="F27" s="29">
        <v>0</v>
      </c>
      <c r="G27" s="29">
        <v>1</v>
      </c>
      <c r="H27" s="29">
        <v>0</v>
      </c>
      <c r="I27" s="28">
        <v>0</v>
      </c>
      <c r="J27" s="27" t="str">
        <f t="shared" si="4"/>
        <v>0x14</v>
      </c>
      <c r="K27" s="22" t="str">
        <f t="shared" si="5"/>
        <v>#H14#</v>
      </c>
    </row>
    <row r="28" spans="1:18" ht="16.5" thickBot="1" x14ac:dyDescent="0.3">
      <c r="A28" s="27">
        <v>21</v>
      </c>
      <c r="B28" s="30">
        <v>0</v>
      </c>
      <c r="C28" s="29">
        <v>0</v>
      </c>
      <c r="D28" s="29">
        <v>0</v>
      </c>
      <c r="E28" s="29">
        <v>1</v>
      </c>
      <c r="F28" s="29">
        <v>0</v>
      </c>
      <c r="G28" s="29">
        <v>1</v>
      </c>
      <c r="H28" s="29">
        <v>0</v>
      </c>
      <c r="I28" s="28">
        <v>1</v>
      </c>
      <c r="J28" s="27" t="str">
        <f t="shared" si="4"/>
        <v>0x15</v>
      </c>
      <c r="K28" s="22" t="str">
        <f t="shared" si="5"/>
        <v>#H15#</v>
      </c>
    </row>
    <row r="29" spans="1:18" ht="16.5" thickBot="1" x14ac:dyDescent="0.3">
      <c r="A29" s="27">
        <v>22</v>
      </c>
      <c r="B29" s="30">
        <v>0</v>
      </c>
      <c r="C29" s="29">
        <v>0</v>
      </c>
      <c r="D29" s="29">
        <v>0</v>
      </c>
      <c r="E29" s="29">
        <v>1</v>
      </c>
      <c r="F29" s="29">
        <v>0</v>
      </c>
      <c r="G29" s="29">
        <v>1</v>
      </c>
      <c r="H29" s="29">
        <v>1</v>
      </c>
      <c r="I29" s="28">
        <v>0</v>
      </c>
      <c r="J29" s="27" t="str">
        <f t="shared" si="4"/>
        <v>0x16</v>
      </c>
      <c r="K29" s="22" t="str">
        <f t="shared" si="5"/>
        <v>#H16#</v>
      </c>
    </row>
    <row r="30" spans="1:18" ht="16.5" thickBot="1" x14ac:dyDescent="0.3">
      <c r="A30" s="27">
        <v>23</v>
      </c>
      <c r="B30" s="30">
        <v>0</v>
      </c>
      <c r="C30" s="29">
        <v>0</v>
      </c>
      <c r="D30" s="29">
        <v>0</v>
      </c>
      <c r="E30" s="29">
        <v>1</v>
      </c>
      <c r="F30" s="29">
        <v>0</v>
      </c>
      <c r="G30" s="29">
        <v>1</v>
      </c>
      <c r="H30" s="29">
        <v>1</v>
      </c>
      <c r="I30" s="28">
        <v>1</v>
      </c>
      <c r="J30" s="27" t="str">
        <f t="shared" si="4"/>
        <v>0x17</v>
      </c>
      <c r="K30" s="22" t="str">
        <f t="shared" si="5"/>
        <v>#H17#</v>
      </c>
    </row>
    <row r="31" spans="1:18" ht="16.5" thickBot="1" x14ac:dyDescent="0.3">
      <c r="A31" s="27">
        <v>24</v>
      </c>
      <c r="B31" s="30">
        <v>0</v>
      </c>
      <c r="C31" s="29">
        <v>0</v>
      </c>
      <c r="D31" s="29">
        <v>0</v>
      </c>
      <c r="E31" s="29">
        <v>1</v>
      </c>
      <c r="F31" s="29">
        <v>1</v>
      </c>
      <c r="G31" s="29">
        <v>0</v>
      </c>
      <c r="H31" s="29">
        <v>0</v>
      </c>
      <c r="I31" s="28">
        <v>0</v>
      </c>
      <c r="J31" s="27" t="str">
        <f t="shared" si="4"/>
        <v>0x18</v>
      </c>
      <c r="K31" s="22" t="str">
        <f t="shared" si="5"/>
        <v>#H18#</v>
      </c>
    </row>
    <row r="32" spans="1:18" ht="16.5" thickBot="1" x14ac:dyDescent="0.3">
      <c r="A32" s="27">
        <v>25</v>
      </c>
      <c r="B32" s="30">
        <v>0</v>
      </c>
      <c r="C32" s="29">
        <v>0</v>
      </c>
      <c r="D32" s="29">
        <v>0</v>
      </c>
      <c r="E32" s="29">
        <v>1</v>
      </c>
      <c r="F32" s="29">
        <v>1</v>
      </c>
      <c r="G32" s="29">
        <v>0</v>
      </c>
      <c r="H32" s="29">
        <v>0</v>
      </c>
      <c r="I32" s="28">
        <v>1</v>
      </c>
      <c r="J32" s="27" t="str">
        <f t="shared" si="4"/>
        <v>0x19</v>
      </c>
      <c r="K32" s="22" t="str">
        <f t="shared" si="5"/>
        <v>#H19#</v>
      </c>
    </row>
    <row r="33" spans="1:11" ht="16.5" thickBot="1" x14ac:dyDescent="0.3">
      <c r="A33" s="27">
        <v>26</v>
      </c>
      <c r="B33" s="30">
        <v>0</v>
      </c>
      <c r="C33" s="29">
        <v>0</v>
      </c>
      <c r="D33" s="29">
        <v>0</v>
      </c>
      <c r="E33" s="29">
        <v>1</v>
      </c>
      <c r="F33" s="29">
        <v>1</v>
      </c>
      <c r="G33" s="29">
        <v>0</v>
      </c>
      <c r="H33" s="29">
        <v>1</v>
      </c>
      <c r="I33" s="28">
        <v>0</v>
      </c>
      <c r="J33" s="27" t="str">
        <f t="shared" si="4"/>
        <v>0x1A</v>
      </c>
      <c r="K33" s="22" t="str">
        <f t="shared" si="5"/>
        <v>#H1A#</v>
      </c>
    </row>
    <row r="34" spans="1:11" ht="16.5" thickBot="1" x14ac:dyDescent="0.3">
      <c r="A34" s="27">
        <v>27</v>
      </c>
      <c r="B34" s="30">
        <v>0</v>
      </c>
      <c r="C34" s="29">
        <v>0</v>
      </c>
      <c r="D34" s="29">
        <v>0</v>
      </c>
      <c r="E34" s="29">
        <v>1</v>
      </c>
      <c r="F34" s="29">
        <v>1</v>
      </c>
      <c r="G34" s="29">
        <v>0</v>
      </c>
      <c r="H34" s="29">
        <v>1</v>
      </c>
      <c r="I34" s="28">
        <v>1</v>
      </c>
      <c r="J34" s="27" t="str">
        <f t="shared" si="4"/>
        <v>0x1B</v>
      </c>
      <c r="K34" s="22" t="str">
        <f t="shared" si="5"/>
        <v>#H1B#</v>
      </c>
    </row>
    <row r="35" spans="1:11" ht="16.5" thickBot="1" x14ac:dyDescent="0.3">
      <c r="A35" s="27">
        <v>28</v>
      </c>
      <c r="B35" s="30">
        <v>0</v>
      </c>
      <c r="C35" s="29">
        <v>0</v>
      </c>
      <c r="D35" s="29">
        <v>0</v>
      </c>
      <c r="E35" s="29">
        <v>1</v>
      </c>
      <c r="F35" s="29">
        <v>1</v>
      </c>
      <c r="G35" s="29">
        <v>1</v>
      </c>
      <c r="H35" s="29">
        <v>0</v>
      </c>
      <c r="I35" s="28">
        <v>0</v>
      </c>
      <c r="J35" s="27" t="str">
        <f t="shared" si="4"/>
        <v>0x1C</v>
      </c>
      <c r="K35" s="22" t="str">
        <f t="shared" si="5"/>
        <v>#H1C#</v>
      </c>
    </row>
    <row r="36" spans="1:11" ht="16.5" thickBot="1" x14ac:dyDescent="0.3">
      <c r="A36" s="27">
        <v>29</v>
      </c>
      <c r="B36" s="30">
        <v>0</v>
      </c>
      <c r="C36" s="29">
        <v>0</v>
      </c>
      <c r="D36" s="29">
        <v>0</v>
      </c>
      <c r="E36" s="29">
        <v>1</v>
      </c>
      <c r="F36" s="29">
        <v>1</v>
      </c>
      <c r="G36" s="29">
        <v>1</v>
      </c>
      <c r="H36" s="29">
        <v>0</v>
      </c>
      <c r="I36" s="28">
        <v>1</v>
      </c>
      <c r="J36" s="27" t="str">
        <f t="shared" si="4"/>
        <v>0x1D</v>
      </c>
      <c r="K36" s="22" t="str">
        <f t="shared" si="5"/>
        <v>#H1D#</v>
      </c>
    </row>
    <row r="37" spans="1:11" ht="16.5" thickBot="1" x14ac:dyDescent="0.3">
      <c r="A37" s="27">
        <v>30</v>
      </c>
      <c r="B37" s="30">
        <v>0</v>
      </c>
      <c r="C37" s="29">
        <v>0</v>
      </c>
      <c r="D37" s="29">
        <v>0</v>
      </c>
      <c r="E37" s="29">
        <v>1</v>
      </c>
      <c r="F37" s="29">
        <v>1</v>
      </c>
      <c r="G37" s="29">
        <v>1</v>
      </c>
      <c r="H37" s="29">
        <v>1</v>
      </c>
      <c r="I37" s="28">
        <v>0</v>
      </c>
      <c r="J37" s="27" t="str">
        <f t="shared" si="4"/>
        <v>0x1E</v>
      </c>
      <c r="K37" s="22" t="str">
        <f t="shared" si="5"/>
        <v>#H1E#</v>
      </c>
    </row>
    <row r="38" spans="1:11" ht="16.5" thickBot="1" x14ac:dyDescent="0.3">
      <c r="A38" s="27">
        <v>31</v>
      </c>
      <c r="B38" s="30">
        <v>0</v>
      </c>
      <c r="C38" s="29">
        <v>0</v>
      </c>
      <c r="D38" s="29">
        <v>0</v>
      </c>
      <c r="E38" s="29">
        <v>1</v>
      </c>
      <c r="F38" s="29">
        <v>1</v>
      </c>
      <c r="G38" s="29">
        <v>1</v>
      </c>
      <c r="H38" s="29">
        <v>1</v>
      </c>
      <c r="I38" s="28">
        <v>1</v>
      </c>
      <c r="J38" s="27" t="str">
        <f t="shared" si="4"/>
        <v>0x1F</v>
      </c>
      <c r="K38" s="22" t="str">
        <f t="shared" si="5"/>
        <v>#H1F#</v>
      </c>
    </row>
    <row r="39" spans="1:11" ht="16.5" thickBot="1" x14ac:dyDescent="0.3">
      <c r="A39" s="27">
        <v>32</v>
      </c>
      <c r="B39" s="30">
        <v>0</v>
      </c>
      <c r="C39" s="29">
        <v>0</v>
      </c>
      <c r="D39" s="29">
        <v>1</v>
      </c>
      <c r="E39" s="29">
        <v>0</v>
      </c>
      <c r="F39" s="29">
        <v>0</v>
      </c>
      <c r="G39" s="29">
        <v>0</v>
      </c>
      <c r="H39" s="29">
        <v>0</v>
      </c>
      <c r="I39" s="28">
        <v>0</v>
      </c>
      <c r="J39" s="27" t="str">
        <f t="shared" si="4"/>
        <v>0x20</v>
      </c>
      <c r="K39" s="22" t="str">
        <f t="shared" si="5"/>
        <v>#H20#</v>
      </c>
    </row>
    <row r="40" spans="1:11" ht="16.5" thickBot="1" x14ac:dyDescent="0.3">
      <c r="A40" s="27">
        <v>33</v>
      </c>
      <c r="B40" s="30">
        <v>0</v>
      </c>
      <c r="C40" s="29">
        <v>0</v>
      </c>
      <c r="D40" s="29">
        <v>1</v>
      </c>
      <c r="E40" s="29">
        <v>0</v>
      </c>
      <c r="F40" s="29">
        <v>0</v>
      </c>
      <c r="G40" s="29">
        <v>0</v>
      </c>
      <c r="H40" s="29">
        <v>0</v>
      </c>
      <c r="I40" s="28">
        <v>1</v>
      </c>
      <c r="J40" s="27" t="str">
        <f t="shared" si="4"/>
        <v>0x21</v>
      </c>
      <c r="K40" s="22" t="str">
        <f t="shared" si="5"/>
        <v>#H21#</v>
      </c>
    </row>
    <row r="41" spans="1:11" ht="16.5" thickBot="1" x14ac:dyDescent="0.3">
      <c r="A41" s="27">
        <v>34</v>
      </c>
      <c r="B41" s="30">
        <v>0</v>
      </c>
      <c r="C41" s="29">
        <v>0</v>
      </c>
      <c r="D41" s="29">
        <v>1</v>
      </c>
      <c r="E41" s="29">
        <v>0</v>
      </c>
      <c r="F41" s="29">
        <v>0</v>
      </c>
      <c r="G41" s="29">
        <v>0</v>
      </c>
      <c r="H41" s="29">
        <v>1</v>
      </c>
      <c r="I41" s="28">
        <v>0</v>
      </c>
      <c r="J41" s="27" t="str">
        <f t="shared" si="4"/>
        <v>0x22</v>
      </c>
      <c r="K41" s="22" t="str">
        <f t="shared" si="5"/>
        <v>#H22#</v>
      </c>
    </row>
    <row r="42" spans="1:11" ht="16.5" thickBot="1" x14ac:dyDescent="0.3">
      <c r="A42" s="27">
        <v>35</v>
      </c>
      <c r="B42" s="30">
        <v>0</v>
      </c>
      <c r="C42" s="29">
        <v>0</v>
      </c>
      <c r="D42" s="29">
        <v>1</v>
      </c>
      <c r="E42" s="29">
        <v>0</v>
      </c>
      <c r="F42" s="29">
        <v>0</v>
      </c>
      <c r="G42" s="29">
        <v>0</v>
      </c>
      <c r="H42" s="29">
        <v>1</v>
      </c>
      <c r="I42" s="28">
        <v>1</v>
      </c>
      <c r="J42" s="27" t="str">
        <f t="shared" si="4"/>
        <v>0x23</v>
      </c>
      <c r="K42" s="22" t="str">
        <f t="shared" si="5"/>
        <v>#H23#</v>
      </c>
    </row>
    <row r="43" spans="1:11" ht="16.5" thickBot="1" x14ac:dyDescent="0.3">
      <c r="A43" s="27">
        <v>36</v>
      </c>
      <c r="B43" s="30">
        <v>0</v>
      </c>
      <c r="C43" s="29">
        <v>0</v>
      </c>
      <c r="D43" s="29">
        <v>1</v>
      </c>
      <c r="E43" s="29">
        <v>0</v>
      </c>
      <c r="F43" s="29">
        <v>0</v>
      </c>
      <c r="G43" s="29">
        <v>1</v>
      </c>
      <c r="H43" s="29">
        <v>0</v>
      </c>
      <c r="I43" s="28">
        <v>0</v>
      </c>
      <c r="J43" s="27" t="str">
        <f t="shared" si="4"/>
        <v>0x24</v>
      </c>
      <c r="K43" s="22" t="str">
        <f t="shared" si="5"/>
        <v>#H24#</v>
      </c>
    </row>
    <row r="44" spans="1:11" ht="16.5" thickBot="1" x14ac:dyDescent="0.3">
      <c r="A44" s="27">
        <v>37</v>
      </c>
      <c r="B44" s="30">
        <v>0</v>
      </c>
      <c r="C44" s="29">
        <v>0</v>
      </c>
      <c r="D44" s="29">
        <v>1</v>
      </c>
      <c r="E44" s="29">
        <v>0</v>
      </c>
      <c r="F44" s="29">
        <v>0</v>
      </c>
      <c r="G44" s="29">
        <v>1</v>
      </c>
      <c r="H44" s="29">
        <v>0</v>
      </c>
      <c r="I44" s="28">
        <v>1</v>
      </c>
      <c r="J44" s="27" t="str">
        <f t="shared" si="4"/>
        <v>0x25</v>
      </c>
      <c r="K44" s="22" t="str">
        <f t="shared" si="5"/>
        <v>#H25#</v>
      </c>
    </row>
    <row r="45" spans="1:11" ht="16.5" thickBot="1" x14ac:dyDescent="0.3">
      <c r="A45" s="27">
        <v>38</v>
      </c>
      <c r="B45" s="30">
        <v>0</v>
      </c>
      <c r="C45" s="29">
        <v>0</v>
      </c>
      <c r="D45" s="29">
        <v>1</v>
      </c>
      <c r="E45" s="29">
        <v>0</v>
      </c>
      <c r="F45" s="29">
        <v>0</v>
      </c>
      <c r="G45" s="29">
        <v>1</v>
      </c>
      <c r="H45" s="29">
        <v>1</v>
      </c>
      <c r="I45" s="28">
        <v>0</v>
      </c>
      <c r="J45" s="27" t="str">
        <f t="shared" si="4"/>
        <v>0x26</v>
      </c>
      <c r="K45" s="22" t="str">
        <f t="shared" si="5"/>
        <v>#H26#</v>
      </c>
    </row>
    <row r="46" spans="1:11" ht="16.5" thickBot="1" x14ac:dyDescent="0.3">
      <c r="A46" s="27">
        <v>39</v>
      </c>
      <c r="B46" s="30">
        <v>0</v>
      </c>
      <c r="C46" s="29">
        <v>0</v>
      </c>
      <c r="D46" s="29">
        <v>1</v>
      </c>
      <c r="E46" s="29">
        <v>0</v>
      </c>
      <c r="F46" s="29">
        <v>0</v>
      </c>
      <c r="G46" s="29">
        <v>1</v>
      </c>
      <c r="H46" s="29">
        <v>1</v>
      </c>
      <c r="I46" s="28">
        <v>1</v>
      </c>
      <c r="J46" s="27" t="str">
        <f t="shared" si="4"/>
        <v>0x27</v>
      </c>
      <c r="K46" s="22" t="str">
        <f t="shared" si="5"/>
        <v>#H27#</v>
      </c>
    </row>
    <row r="47" spans="1:11" ht="16.5" thickBot="1" x14ac:dyDescent="0.3">
      <c r="A47" s="27">
        <v>40</v>
      </c>
      <c r="B47" s="30">
        <v>0</v>
      </c>
      <c r="C47" s="29">
        <v>0</v>
      </c>
      <c r="D47" s="29">
        <v>1</v>
      </c>
      <c r="E47" s="29">
        <v>0</v>
      </c>
      <c r="F47" s="29">
        <v>1</v>
      </c>
      <c r="G47" s="29">
        <v>0</v>
      </c>
      <c r="H47" s="29">
        <v>0</v>
      </c>
      <c r="I47" s="28">
        <v>0</v>
      </c>
      <c r="J47" s="27" t="str">
        <f t="shared" si="4"/>
        <v>0x28</v>
      </c>
      <c r="K47" s="22" t="str">
        <f t="shared" si="5"/>
        <v>#H28#</v>
      </c>
    </row>
    <row r="48" spans="1:11" ht="16.5" thickBot="1" x14ac:dyDescent="0.3">
      <c r="A48" s="27">
        <v>41</v>
      </c>
      <c r="B48" s="30">
        <v>0</v>
      </c>
      <c r="C48" s="29">
        <v>0</v>
      </c>
      <c r="D48" s="29">
        <v>1</v>
      </c>
      <c r="E48" s="29">
        <v>0</v>
      </c>
      <c r="F48" s="29">
        <v>1</v>
      </c>
      <c r="G48" s="29">
        <v>0</v>
      </c>
      <c r="H48" s="29">
        <v>0</v>
      </c>
      <c r="I48" s="28">
        <v>1</v>
      </c>
      <c r="J48" s="27" t="str">
        <f t="shared" si="4"/>
        <v>0x29</v>
      </c>
      <c r="K48" s="22" t="str">
        <f t="shared" si="5"/>
        <v>#H29#</v>
      </c>
    </row>
    <row r="49" spans="1:11" ht="16.5" thickBot="1" x14ac:dyDescent="0.3">
      <c r="A49" s="27">
        <v>42</v>
      </c>
      <c r="B49" s="30">
        <v>0</v>
      </c>
      <c r="C49" s="29">
        <v>0</v>
      </c>
      <c r="D49" s="29">
        <v>1</v>
      </c>
      <c r="E49" s="29">
        <v>0</v>
      </c>
      <c r="F49" s="29">
        <v>1</v>
      </c>
      <c r="G49" s="29">
        <v>0</v>
      </c>
      <c r="H49" s="29">
        <v>1</v>
      </c>
      <c r="I49" s="28">
        <v>0</v>
      </c>
      <c r="J49" s="27" t="str">
        <f t="shared" si="4"/>
        <v>0x2A</v>
      </c>
      <c r="K49" s="22" t="str">
        <f t="shared" si="5"/>
        <v>#H2A#</v>
      </c>
    </row>
    <row r="50" spans="1:11" ht="16.5" thickBot="1" x14ac:dyDescent="0.3">
      <c r="A50" s="27">
        <v>43</v>
      </c>
      <c r="B50" s="30">
        <v>0</v>
      </c>
      <c r="C50" s="29">
        <v>0</v>
      </c>
      <c r="D50" s="29">
        <v>1</v>
      </c>
      <c r="E50" s="29">
        <v>0</v>
      </c>
      <c r="F50" s="29">
        <v>1</v>
      </c>
      <c r="G50" s="29">
        <v>0</v>
      </c>
      <c r="H50" s="29">
        <v>1</v>
      </c>
      <c r="I50" s="28">
        <v>1</v>
      </c>
      <c r="J50" s="27" t="str">
        <f t="shared" si="4"/>
        <v>0x2B</v>
      </c>
      <c r="K50" s="22" t="str">
        <f t="shared" si="5"/>
        <v>#H2B#</v>
      </c>
    </row>
    <row r="51" spans="1:11" ht="16.5" thickBot="1" x14ac:dyDescent="0.3">
      <c r="A51" s="27">
        <v>44</v>
      </c>
      <c r="B51" s="30">
        <v>0</v>
      </c>
      <c r="C51" s="29">
        <v>0</v>
      </c>
      <c r="D51" s="29">
        <v>1</v>
      </c>
      <c r="E51" s="29">
        <v>0</v>
      </c>
      <c r="F51" s="29">
        <v>1</v>
      </c>
      <c r="G51" s="29">
        <v>1</v>
      </c>
      <c r="H51" s="29">
        <v>0</v>
      </c>
      <c r="I51" s="28">
        <v>0</v>
      </c>
      <c r="J51" s="27" t="str">
        <f t="shared" si="4"/>
        <v>0x2C</v>
      </c>
      <c r="K51" s="22" t="str">
        <f t="shared" si="5"/>
        <v>#H2C#</v>
      </c>
    </row>
    <row r="52" spans="1:11" ht="16.5" thickBot="1" x14ac:dyDescent="0.3">
      <c r="A52" s="27">
        <v>45</v>
      </c>
      <c r="B52" s="30">
        <v>0</v>
      </c>
      <c r="C52" s="29">
        <v>0</v>
      </c>
      <c r="D52" s="29">
        <v>1</v>
      </c>
      <c r="E52" s="29">
        <v>0</v>
      </c>
      <c r="F52" s="29">
        <v>1</v>
      </c>
      <c r="G52" s="29">
        <v>1</v>
      </c>
      <c r="H52" s="29">
        <v>0</v>
      </c>
      <c r="I52" s="28">
        <v>1</v>
      </c>
      <c r="J52" s="27" t="str">
        <f t="shared" si="4"/>
        <v>0x2D</v>
      </c>
      <c r="K52" s="22" t="str">
        <f t="shared" si="5"/>
        <v>#H2D#</v>
      </c>
    </row>
    <row r="53" spans="1:11" ht="16.5" thickBot="1" x14ac:dyDescent="0.3">
      <c r="A53" s="27">
        <v>46</v>
      </c>
      <c r="B53" s="30">
        <v>0</v>
      </c>
      <c r="C53" s="29">
        <v>0</v>
      </c>
      <c r="D53" s="29">
        <v>1</v>
      </c>
      <c r="E53" s="29">
        <v>0</v>
      </c>
      <c r="F53" s="29">
        <v>1</v>
      </c>
      <c r="G53" s="29">
        <v>1</v>
      </c>
      <c r="H53" s="29">
        <v>1</v>
      </c>
      <c r="I53" s="28">
        <v>0</v>
      </c>
      <c r="J53" s="27" t="str">
        <f t="shared" si="4"/>
        <v>0x2E</v>
      </c>
      <c r="K53" s="22" t="str">
        <f t="shared" si="5"/>
        <v>#H2E#</v>
      </c>
    </row>
    <row r="54" spans="1:11" ht="16.5" thickBot="1" x14ac:dyDescent="0.3">
      <c r="A54" s="27">
        <v>47</v>
      </c>
      <c r="B54" s="30">
        <v>0</v>
      </c>
      <c r="C54" s="29">
        <v>0</v>
      </c>
      <c r="D54" s="29">
        <v>1</v>
      </c>
      <c r="E54" s="29">
        <v>1</v>
      </c>
      <c r="F54" s="29">
        <v>1</v>
      </c>
      <c r="G54" s="29">
        <v>1</v>
      </c>
      <c r="H54" s="29">
        <v>1</v>
      </c>
      <c r="I54" s="28">
        <v>1</v>
      </c>
      <c r="J54" s="27" t="str">
        <f t="shared" si="4"/>
        <v>0x2F</v>
      </c>
      <c r="K54" s="22" t="str">
        <f t="shared" si="5"/>
        <v>#H2F#</v>
      </c>
    </row>
    <row r="55" spans="1:11" ht="16.5" thickBot="1" x14ac:dyDescent="0.3">
      <c r="A55" s="27">
        <v>48</v>
      </c>
      <c r="B55" s="30">
        <v>0</v>
      </c>
      <c r="C55" s="29">
        <v>0</v>
      </c>
      <c r="D55" s="29">
        <v>1</v>
      </c>
      <c r="E55" s="29">
        <v>1</v>
      </c>
      <c r="F55" s="29">
        <v>0</v>
      </c>
      <c r="G55" s="29">
        <v>0</v>
      </c>
      <c r="H55" s="29">
        <v>0</v>
      </c>
      <c r="I55" s="28">
        <v>0</v>
      </c>
      <c r="J55" s="27" t="str">
        <f t="shared" si="4"/>
        <v>0x30</v>
      </c>
      <c r="K55" s="22" t="str">
        <f t="shared" si="5"/>
        <v>#H30#</v>
      </c>
    </row>
    <row r="56" spans="1:11" ht="16.5" thickBot="1" x14ac:dyDescent="0.3">
      <c r="A56" s="27">
        <v>49</v>
      </c>
      <c r="B56" s="30">
        <v>0</v>
      </c>
      <c r="C56" s="29">
        <v>0</v>
      </c>
      <c r="D56" s="29">
        <v>1</v>
      </c>
      <c r="E56" s="29">
        <v>1</v>
      </c>
      <c r="F56" s="29">
        <v>0</v>
      </c>
      <c r="G56" s="29">
        <v>0</v>
      </c>
      <c r="H56" s="29">
        <v>0</v>
      </c>
      <c r="I56" s="28">
        <v>1</v>
      </c>
      <c r="J56" s="27" t="str">
        <f t="shared" si="4"/>
        <v>0x31</v>
      </c>
      <c r="K56" s="22" t="str">
        <f t="shared" si="5"/>
        <v>#H31#</v>
      </c>
    </row>
    <row r="57" spans="1:11" ht="16.5" thickBot="1" x14ac:dyDescent="0.3">
      <c r="A57" s="27">
        <v>50</v>
      </c>
      <c r="B57" s="30">
        <v>0</v>
      </c>
      <c r="C57" s="29">
        <v>0</v>
      </c>
      <c r="D57" s="29">
        <v>1</v>
      </c>
      <c r="E57" s="29">
        <v>1</v>
      </c>
      <c r="F57" s="29">
        <v>0</v>
      </c>
      <c r="G57" s="29">
        <v>0</v>
      </c>
      <c r="H57" s="29">
        <v>1</v>
      </c>
      <c r="I57" s="28">
        <v>0</v>
      </c>
      <c r="J57" s="27" t="str">
        <f t="shared" si="4"/>
        <v>0x32</v>
      </c>
      <c r="K57" s="22" t="str">
        <f t="shared" si="5"/>
        <v>#H32#</v>
      </c>
    </row>
    <row r="58" spans="1:11" ht="16.5" thickBot="1" x14ac:dyDescent="0.3">
      <c r="A58" s="27">
        <v>51</v>
      </c>
      <c r="B58" s="30">
        <v>0</v>
      </c>
      <c r="C58" s="29">
        <v>0</v>
      </c>
      <c r="D58" s="29">
        <v>1</v>
      </c>
      <c r="E58" s="29">
        <v>1</v>
      </c>
      <c r="F58" s="29">
        <v>0</v>
      </c>
      <c r="G58" s="29">
        <v>0</v>
      </c>
      <c r="H58" s="29">
        <v>1</v>
      </c>
      <c r="I58" s="28">
        <v>1</v>
      </c>
      <c r="J58" s="27" t="str">
        <f t="shared" si="4"/>
        <v>0x33</v>
      </c>
      <c r="K58" s="22" t="str">
        <f t="shared" si="5"/>
        <v>#H33#</v>
      </c>
    </row>
    <row r="59" spans="1:11" ht="16.5" thickBot="1" x14ac:dyDescent="0.3">
      <c r="A59" s="27">
        <v>52</v>
      </c>
      <c r="B59" s="30">
        <v>0</v>
      </c>
      <c r="C59" s="29">
        <v>0</v>
      </c>
      <c r="D59" s="29">
        <v>1</v>
      </c>
      <c r="E59" s="29">
        <v>1</v>
      </c>
      <c r="F59" s="29">
        <v>0</v>
      </c>
      <c r="G59" s="29">
        <v>1</v>
      </c>
      <c r="H59" s="29">
        <v>0</v>
      </c>
      <c r="I59" s="28">
        <v>0</v>
      </c>
      <c r="J59" s="27" t="str">
        <f t="shared" si="4"/>
        <v>0x34</v>
      </c>
      <c r="K59" s="22" t="str">
        <f t="shared" si="5"/>
        <v>#H34#</v>
      </c>
    </row>
    <row r="60" spans="1:11" ht="16.5" thickBot="1" x14ac:dyDescent="0.3">
      <c r="A60" s="27">
        <v>53</v>
      </c>
      <c r="B60" s="30">
        <v>0</v>
      </c>
      <c r="C60" s="29">
        <v>0</v>
      </c>
      <c r="D60" s="29">
        <v>1</v>
      </c>
      <c r="E60" s="29">
        <v>1</v>
      </c>
      <c r="F60" s="29">
        <v>0</v>
      </c>
      <c r="G60" s="29">
        <v>1</v>
      </c>
      <c r="H60" s="29">
        <v>0</v>
      </c>
      <c r="I60" s="28">
        <v>1</v>
      </c>
      <c r="J60" s="27" t="str">
        <f t="shared" si="4"/>
        <v>0x35</v>
      </c>
      <c r="K60" s="22" t="str">
        <f t="shared" si="5"/>
        <v>#H35#</v>
      </c>
    </row>
    <row r="61" spans="1:11" ht="16.5" thickBot="1" x14ac:dyDescent="0.3">
      <c r="A61" s="27">
        <v>54</v>
      </c>
      <c r="B61" s="30">
        <v>0</v>
      </c>
      <c r="C61" s="29">
        <v>0</v>
      </c>
      <c r="D61" s="29">
        <v>1</v>
      </c>
      <c r="E61" s="29">
        <v>1</v>
      </c>
      <c r="F61" s="29">
        <v>0</v>
      </c>
      <c r="G61" s="29">
        <v>1</v>
      </c>
      <c r="H61" s="29">
        <v>1</v>
      </c>
      <c r="I61" s="28">
        <v>0</v>
      </c>
      <c r="J61" s="27" t="str">
        <f t="shared" si="4"/>
        <v>0x36</v>
      </c>
      <c r="K61" s="22" t="str">
        <f t="shared" si="5"/>
        <v>#H36#</v>
      </c>
    </row>
    <row r="62" spans="1:11" ht="16.5" thickBot="1" x14ac:dyDescent="0.3">
      <c r="A62" s="27">
        <v>55</v>
      </c>
      <c r="B62" s="30">
        <v>0</v>
      </c>
      <c r="C62" s="29">
        <v>0</v>
      </c>
      <c r="D62" s="29">
        <v>1</v>
      </c>
      <c r="E62" s="29">
        <v>1</v>
      </c>
      <c r="F62" s="29">
        <v>0</v>
      </c>
      <c r="G62" s="29">
        <v>1</v>
      </c>
      <c r="H62" s="29">
        <v>1</v>
      </c>
      <c r="I62" s="28">
        <v>1</v>
      </c>
      <c r="J62" s="27" t="str">
        <f t="shared" si="4"/>
        <v>0x37</v>
      </c>
      <c r="K62" s="22" t="str">
        <f t="shared" si="5"/>
        <v>#H37#</v>
      </c>
    </row>
    <row r="63" spans="1:11" ht="16.5" thickBot="1" x14ac:dyDescent="0.3">
      <c r="A63" s="27">
        <v>56</v>
      </c>
      <c r="B63" s="30">
        <v>0</v>
      </c>
      <c r="C63" s="29">
        <v>0</v>
      </c>
      <c r="D63" s="29">
        <v>1</v>
      </c>
      <c r="E63" s="29">
        <v>1</v>
      </c>
      <c r="F63" s="29">
        <v>1</v>
      </c>
      <c r="G63" s="29">
        <v>0</v>
      </c>
      <c r="H63" s="29">
        <v>0</v>
      </c>
      <c r="I63" s="28">
        <v>0</v>
      </c>
      <c r="J63" s="27" t="str">
        <f t="shared" si="4"/>
        <v>0x38</v>
      </c>
      <c r="K63" s="22" t="str">
        <f t="shared" si="5"/>
        <v>#H38#</v>
      </c>
    </row>
    <row r="64" spans="1:11" ht="16.5" thickBot="1" x14ac:dyDescent="0.3">
      <c r="A64" s="27">
        <v>57</v>
      </c>
      <c r="B64" s="30">
        <v>0</v>
      </c>
      <c r="C64" s="29">
        <v>0</v>
      </c>
      <c r="D64" s="29">
        <v>1</v>
      </c>
      <c r="E64" s="29">
        <v>1</v>
      </c>
      <c r="F64" s="29">
        <v>1</v>
      </c>
      <c r="G64" s="29">
        <v>0</v>
      </c>
      <c r="H64" s="29">
        <v>0</v>
      </c>
      <c r="I64" s="28">
        <v>1</v>
      </c>
      <c r="J64" s="27" t="str">
        <f t="shared" si="4"/>
        <v>0x39</v>
      </c>
      <c r="K64" s="22" t="str">
        <f t="shared" si="5"/>
        <v>#H39#</v>
      </c>
    </row>
    <row r="65" spans="1:11" ht="16.5" thickBot="1" x14ac:dyDescent="0.3">
      <c r="A65" s="27">
        <v>58</v>
      </c>
      <c r="B65" s="30">
        <v>0</v>
      </c>
      <c r="C65" s="29">
        <v>0</v>
      </c>
      <c r="D65" s="29">
        <v>1</v>
      </c>
      <c r="E65" s="29">
        <v>1</v>
      </c>
      <c r="F65" s="29">
        <v>1</v>
      </c>
      <c r="G65" s="29">
        <v>0</v>
      </c>
      <c r="H65" s="29">
        <v>1</v>
      </c>
      <c r="I65" s="28">
        <v>0</v>
      </c>
      <c r="J65" s="27" t="str">
        <f t="shared" si="4"/>
        <v>0x3A</v>
      </c>
      <c r="K65" s="22" t="str">
        <f t="shared" si="5"/>
        <v>#H3A#</v>
      </c>
    </row>
    <row r="66" spans="1:11" ht="16.5" thickBot="1" x14ac:dyDescent="0.3">
      <c r="A66" s="27">
        <v>59</v>
      </c>
      <c r="B66" s="30">
        <v>0</v>
      </c>
      <c r="C66" s="29">
        <v>0</v>
      </c>
      <c r="D66" s="29">
        <v>1</v>
      </c>
      <c r="E66" s="29">
        <v>1</v>
      </c>
      <c r="F66" s="29">
        <v>1</v>
      </c>
      <c r="G66" s="29">
        <v>0</v>
      </c>
      <c r="H66" s="29">
        <v>1</v>
      </c>
      <c r="I66" s="28">
        <v>1</v>
      </c>
      <c r="J66" s="27" t="str">
        <f t="shared" si="4"/>
        <v>0x3B</v>
      </c>
      <c r="K66" s="22" t="str">
        <f t="shared" si="5"/>
        <v>#H3B#</v>
      </c>
    </row>
    <row r="67" spans="1:11" ht="16.5" thickBot="1" x14ac:dyDescent="0.3">
      <c r="A67" s="27">
        <v>60</v>
      </c>
      <c r="B67" s="30">
        <v>0</v>
      </c>
      <c r="C67" s="29">
        <v>0</v>
      </c>
      <c r="D67" s="29">
        <v>1</v>
      </c>
      <c r="E67" s="29">
        <v>1</v>
      </c>
      <c r="F67" s="29">
        <v>1</v>
      </c>
      <c r="G67" s="29">
        <v>1</v>
      </c>
      <c r="H67" s="29">
        <v>0</v>
      </c>
      <c r="I67" s="28">
        <v>0</v>
      </c>
      <c r="J67" s="27" t="str">
        <f t="shared" si="4"/>
        <v>0x3C</v>
      </c>
      <c r="K67" s="22" t="str">
        <f t="shared" si="5"/>
        <v>#H3C#</v>
      </c>
    </row>
    <row r="68" spans="1:11" ht="16.5" thickBot="1" x14ac:dyDescent="0.3">
      <c r="A68" s="27">
        <v>61</v>
      </c>
      <c r="B68" s="30">
        <v>0</v>
      </c>
      <c r="C68" s="29">
        <v>0</v>
      </c>
      <c r="D68" s="29">
        <v>1</v>
      </c>
      <c r="E68" s="29">
        <v>1</v>
      </c>
      <c r="F68" s="29">
        <v>1</v>
      </c>
      <c r="G68" s="29">
        <v>1</v>
      </c>
      <c r="H68" s="29">
        <v>0</v>
      </c>
      <c r="I68" s="28">
        <v>1</v>
      </c>
      <c r="J68" s="27" t="str">
        <f t="shared" si="4"/>
        <v>0x3D</v>
      </c>
      <c r="K68" s="22" t="str">
        <f t="shared" si="5"/>
        <v>#H3D#</v>
      </c>
    </row>
    <row r="69" spans="1:11" ht="16.5" thickBot="1" x14ac:dyDescent="0.3">
      <c r="A69" s="27">
        <v>62</v>
      </c>
      <c r="B69" s="30">
        <v>0</v>
      </c>
      <c r="C69" s="29">
        <v>0</v>
      </c>
      <c r="D69" s="29">
        <v>1</v>
      </c>
      <c r="E69" s="29">
        <v>1</v>
      </c>
      <c r="F69" s="29">
        <v>1</v>
      </c>
      <c r="G69" s="29">
        <v>1</v>
      </c>
      <c r="H69" s="29">
        <v>1</v>
      </c>
      <c r="I69" s="28">
        <v>0</v>
      </c>
      <c r="J69" s="27" t="str">
        <f t="shared" si="4"/>
        <v>0x3E</v>
      </c>
      <c r="K69" s="22" t="str">
        <f t="shared" si="5"/>
        <v>#H3E#</v>
      </c>
    </row>
    <row r="70" spans="1:11" ht="16.5" thickBot="1" x14ac:dyDescent="0.3">
      <c r="A70" s="27">
        <v>63</v>
      </c>
      <c r="B70" s="30">
        <v>0</v>
      </c>
      <c r="C70" s="29">
        <v>0</v>
      </c>
      <c r="D70" s="29">
        <v>1</v>
      </c>
      <c r="E70" s="29">
        <v>1</v>
      </c>
      <c r="F70" s="29">
        <v>1</v>
      </c>
      <c r="G70" s="29">
        <v>1</v>
      </c>
      <c r="H70" s="29">
        <v>1</v>
      </c>
      <c r="I70" s="28">
        <v>1</v>
      </c>
      <c r="J70" s="27" t="str">
        <f t="shared" si="4"/>
        <v>0x3F</v>
      </c>
      <c r="K70" s="22" t="str">
        <f t="shared" si="5"/>
        <v>#H3F#</v>
      </c>
    </row>
    <row r="71" spans="1:11" ht="16.5" thickBot="1" x14ac:dyDescent="0.3">
      <c r="A71" s="27">
        <v>64</v>
      </c>
      <c r="B71" s="30">
        <v>0</v>
      </c>
      <c r="C71" s="29">
        <v>1</v>
      </c>
      <c r="D71" s="29">
        <v>0</v>
      </c>
      <c r="E71" s="29">
        <v>0</v>
      </c>
      <c r="F71" s="29">
        <v>0</v>
      </c>
      <c r="G71" s="29">
        <v>0</v>
      </c>
      <c r="H71" s="29">
        <v>0</v>
      </c>
      <c r="I71" s="28">
        <v>0</v>
      </c>
      <c r="J71" s="27" t="str">
        <f t="shared" ref="J71:J134" si="6">"0x"&amp;LEFT("00", 2-LEN(DEC2HEX(A71)))&amp;DEC2HEX(A71)</f>
        <v>0x40</v>
      </c>
      <c r="K71" s="22" t="str">
        <f t="shared" ref="K71:K134" si="7">"#H"&amp;LEFT("00", 2-LEN(DEC2HEX(A71)))&amp;DEC2HEX(A71) &amp;"#"</f>
        <v>#H40#</v>
      </c>
    </row>
    <row r="72" spans="1:11" ht="16.5" thickBot="1" x14ac:dyDescent="0.3">
      <c r="A72" s="27">
        <v>65</v>
      </c>
      <c r="B72" s="30">
        <v>0</v>
      </c>
      <c r="C72" s="29">
        <v>1</v>
      </c>
      <c r="D72" s="29">
        <v>0</v>
      </c>
      <c r="E72" s="29">
        <v>0</v>
      </c>
      <c r="F72" s="29">
        <v>0</v>
      </c>
      <c r="G72" s="29">
        <v>0</v>
      </c>
      <c r="H72" s="29">
        <v>0</v>
      </c>
      <c r="I72" s="28">
        <v>1</v>
      </c>
      <c r="J72" s="27" t="str">
        <f t="shared" si="6"/>
        <v>0x41</v>
      </c>
      <c r="K72" s="22" t="str">
        <f t="shared" si="7"/>
        <v>#H41#</v>
      </c>
    </row>
    <row r="73" spans="1:11" ht="16.5" thickBot="1" x14ac:dyDescent="0.3">
      <c r="A73" s="27">
        <v>66</v>
      </c>
      <c r="B73" s="30">
        <v>0</v>
      </c>
      <c r="C73" s="29">
        <v>1</v>
      </c>
      <c r="D73" s="29">
        <v>0</v>
      </c>
      <c r="E73" s="29">
        <v>0</v>
      </c>
      <c r="F73" s="29">
        <v>0</v>
      </c>
      <c r="G73" s="29">
        <v>0</v>
      </c>
      <c r="H73" s="29">
        <v>1</v>
      </c>
      <c r="I73" s="28">
        <v>0</v>
      </c>
      <c r="J73" s="27" t="str">
        <f t="shared" si="6"/>
        <v>0x42</v>
      </c>
      <c r="K73" s="22" t="str">
        <f t="shared" si="7"/>
        <v>#H42#</v>
      </c>
    </row>
    <row r="74" spans="1:11" ht="16.5" thickBot="1" x14ac:dyDescent="0.3">
      <c r="A74" s="27">
        <v>67</v>
      </c>
      <c r="B74" s="30">
        <v>0</v>
      </c>
      <c r="C74" s="29">
        <v>1</v>
      </c>
      <c r="D74" s="29">
        <v>0</v>
      </c>
      <c r="E74" s="29">
        <v>0</v>
      </c>
      <c r="F74" s="29">
        <v>0</v>
      </c>
      <c r="G74" s="29">
        <v>0</v>
      </c>
      <c r="H74" s="29">
        <v>1</v>
      </c>
      <c r="I74" s="28">
        <v>1</v>
      </c>
      <c r="J74" s="27" t="str">
        <f t="shared" si="6"/>
        <v>0x43</v>
      </c>
      <c r="K74" s="22" t="str">
        <f t="shared" si="7"/>
        <v>#H43#</v>
      </c>
    </row>
    <row r="75" spans="1:11" ht="16.5" thickBot="1" x14ac:dyDescent="0.3">
      <c r="A75" s="27">
        <v>68</v>
      </c>
      <c r="B75" s="30">
        <v>0</v>
      </c>
      <c r="C75" s="29">
        <v>1</v>
      </c>
      <c r="D75" s="29">
        <v>0</v>
      </c>
      <c r="E75" s="29">
        <v>0</v>
      </c>
      <c r="F75" s="29">
        <v>0</v>
      </c>
      <c r="G75" s="29">
        <v>1</v>
      </c>
      <c r="H75" s="29">
        <v>0</v>
      </c>
      <c r="I75" s="28">
        <v>0</v>
      </c>
      <c r="J75" s="27" t="str">
        <f t="shared" si="6"/>
        <v>0x44</v>
      </c>
      <c r="K75" s="22" t="str">
        <f t="shared" si="7"/>
        <v>#H44#</v>
      </c>
    </row>
    <row r="76" spans="1:11" ht="16.5" thickBot="1" x14ac:dyDescent="0.3">
      <c r="A76" s="27">
        <v>69</v>
      </c>
      <c r="B76" s="30">
        <v>0</v>
      </c>
      <c r="C76" s="29">
        <v>1</v>
      </c>
      <c r="D76" s="29">
        <v>0</v>
      </c>
      <c r="E76" s="29">
        <v>0</v>
      </c>
      <c r="F76" s="29">
        <v>0</v>
      </c>
      <c r="G76" s="29">
        <v>1</v>
      </c>
      <c r="H76" s="29">
        <v>0</v>
      </c>
      <c r="I76" s="28">
        <v>1</v>
      </c>
      <c r="J76" s="27" t="str">
        <f t="shared" si="6"/>
        <v>0x45</v>
      </c>
      <c r="K76" s="22" t="str">
        <f t="shared" si="7"/>
        <v>#H45#</v>
      </c>
    </row>
    <row r="77" spans="1:11" ht="16.5" thickBot="1" x14ac:dyDescent="0.3">
      <c r="A77" s="27">
        <v>70</v>
      </c>
      <c r="B77" s="30">
        <v>0</v>
      </c>
      <c r="C77" s="29">
        <v>1</v>
      </c>
      <c r="D77" s="29">
        <v>0</v>
      </c>
      <c r="E77" s="29">
        <v>0</v>
      </c>
      <c r="F77" s="29">
        <v>0</v>
      </c>
      <c r="G77" s="29">
        <v>1</v>
      </c>
      <c r="H77" s="29">
        <v>1</v>
      </c>
      <c r="I77" s="28">
        <v>0</v>
      </c>
      <c r="J77" s="27" t="str">
        <f t="shared" si="6"/>
        <v>0x46</v>
      </c>
      <c r="K77" s="22" t="str">
        <f t="shared" si="7"/>
        <v>#H46#</v>
      </c>
    </row>
    <row r="78" spans="1:11" ht="16.5" thickBot="1" x14ac:dyDescent="0.3">
      <c r="A78" s="27">
        <v>71</v>
      </c>
      <c r="B78" s="30">
        <v>0</v>
      </c>
      <c r="C78" s="29">
        <v>1</v>
      </c>
      <c r="D78" s="29">
        <v>0</v>
      </c>
      <c r="E78" s="29">
        <v>0</v>
      </c>
      <c r="F78" s="29">
        <v>0</v>
      </c>
      <c r="G78" s="29">
        <v>1</v>
      </c>
      <c r="H78" s="29">
        <v>1</v>
      </c>
      <c r="I78" s="28">
        <v>1</v>
      </c>
      <c r="J78" s="27" t="str">
        <f t="shared" si="6"/>
        <v>0x47</v>
      </c>
      <c r="K78" s="22" t="str">
        <f t="shared" si="7"/>
        <v>#H47#</v>
      </c>
    </row>
    <row r="79" spans="1:11" ht="16.5" thickBot="1" x14ac:dyDescent="0.3">
      <c r="A79" s="27">
        <v>72</v>
      </c>
      <c r="B79" s="30">
        <v>0</v>
      </c>
      <c r="C79" s="29">
        <v>1</v>
      </c>
      <c r="D79" s="29">
        <v>0</v>
      </c>
      <c r="E79" s="29">
        <v>0</v>
      </c>
      <c r="F79" s="29">
        <v>1</v>
      </c>
      <c r="G79" s="29">
        <v>0</v>
      </c>
      <c r="H79" s="29">
        <v>0</v>
      </c>
      <c r="I79" s="28">
        <v>0</v>
      </c>
      <c r="J79" s="27" t="str">
        <f t="shared" si="6"/>
        <v>0x48</v>
      </c>
      <c r="K79" s="22" t="str">
        <f t="shared" si="7"/>
        <v>#H48#</v>
      </c>
    </row>
    <row r="80" spans="1:11" ht="16.5" thickBot="1" x14ac:dyDescent="0.3">
      <c r="A80" s="27">
        <v>73</v>
      </c>
      <c r="B80" s="30">
        <v>0</v>
      </c>
      <c r="C80" s="29">
        <v>1</v>
      </c>
      <c r="D80" s="29">
        <v>0</v>
      </c>
      <c r="E80" s="29">
        <v>0</v>
      </c>
      <c r="F80" s="29">
        <v>1</v>
      </c>
      <c r="G80" s="29">
        <v>0</v>
      </c>
      <c r="H80" s="29">
        <v>0</v>
      </c>
      <c r="I80" s="28">
        <v>1</v>
      </c>
      <c r="J80" s="27" t="str">
        <f t="shared" si="6"/>
        <v>0x49</v>
      </c>
      <c r="K80" s="22" t="str">
        <f t="shared" si="7"/>
        <v>#H49#</v>
      </c>
    </row>
    <row r="81" spans="1:11" ht="16.5" thickBot="1" x14ac:dyDescent="0.3">
      <c r="A81" s="27">
        <v>74</v>
      </c>
      <c r="B81" s="30">
        <v>0</v>
      </c>
      <c r="C81" s="29">
        <v>1</v>
      </c>
      <c r="D81" s="29">
        <v>0</v>
      </c>
      <c r="E81" s="29">
        <v>0</v>
      </c>
      <c r="F81" s="29">
        <v>1</v>
      </c>
      <c r="G81" s="29">
        <v>0</v>
      </c>
      <c r="H81" s="29">
        <v>1</v>
      </c>
      <c r="I81" s="28">
        <v>0</v>
      </c>
      <c r="J81" s="27" t="str">
        <f t="shared" si="6"/>
        <v>0x4A</v>
      </c>
      <c r="K81" s="22" t="str">
        <f t="shared" si="7"/>
        <v>#H4A#</v>
      </c>
    </row>
    <row r="82" spans="1:11" ht="16.5" thickBot="1" x14ac:dyDescent="0.3">
      <c r="A82" s="27">
        <v>75</v>
      </c>
      <c r="B82" s="30">
        <v>0</v>
      </c>
      <c r="C82" s="29">
        <v>1</v>
      </c>
      <c r="D82" s="29">
        <v>0</v>
      </c>
      <c r="E82" s="29">
        <v>0</v>
      </c>
      <c r="F82" s="29">
        <v>1</v>
      </c>
      <c r="G82" s="29">
        <v>0</v>
      </c>
      <c r="H82" s="29">
        <v>1</v>
      </c>
      <c r="I82" s="28">
        <v>1</v>
      </c>
      <c r="J82" s="27" t="str">
        <f t="shared" si="6"/>
        <v>0x4B</v>
      </c>
      <c r="K82" s="22" t="str">
        <f t="shared" si="7"/>
        <v>#H4B#</v>
      </c>
    </row>
    <row r="83" spans="1:11" ht="16.5" thickBot="1" x14ac:dyDescent="0.3">
      <c r="A83" s="27">
        <v>76</v>
      </c>
      <c r="B83" s="30">
        <v>0</v>
      </c>
      <c r="C83" s="29">
        <v>1</v>
      </c>
      <c r="D83" s="29">
        <v>0</v>
      </c>
      <c r="E83" s="29">
        <v>0</v>
      </c>
      <c r="F83" s="29">
        <v>1</v>
      </c>
      <c r="G83" s="29">
        <v>1</v>
      </c>
      <c r="H83" s="29">
        <v>0</v>
      </c>
      <c r="I83" s="28">
        <v>0</v>
      </c>
      <c r="J83" s="27" t="str">
        <f t="shared" si="6"/>
        <v>0x4C</v>
      </c>
      <c r="K83" s="22" t="str">
        <f t="shared" si="7"/>
        <v>#H4C#</v>
      </c>
    </row>
    <row r="84" spans="1:11" ht="16.5" thickBot="1" x14ac:dyDescent="0.3">
      <c r="A84" s="27">
        <v>77</v>
      </c>
      <c r="B84" s="30">
        <v>0</v>
      </c>
      <c r="C84" s="29">
        <v>1</v>
      </c>
      <c r="D84" s="29">
        <v>0</v>
      </c>
      <c r="E84" s="29">
        <v>0</v>
      </c>
      <c r="F84" s="29">
        <v>1</v>
      </c>
      <c r="G84" s="29">
        <v>1</v>
      </c>
      <c r="H84" s="29">
        <v>0</v>
      </c>
      <c r="I84" s="28">
        <v>1</v>
      </c>
      <c r="J84" s="27" t="str">
        <f t="shared" si="6"/>
        <v>0x4D</v>
      </c>
      <c r="K84" s="22" t="str">
        <f t="shared" si="7"/>
        <v>#H4D#</v>
      </c>
    </row>
    <row r="85" spans="1:11" ht="16.5" thickBot="1" x14ac:dyDescent="0.3">
      <c r="A85" s="27">
        <v>78</v>
      </c>
      <c r="B85" s="30">
        <v>0</v>
      </c>
      <c r="C85" s="29">
        <v>1</v>
      </c>
      <c r="D85" s="29">
        <v>0</v>
      </c>
      <c r="E85" s="29">
        <v>0</v>
      </c>
      <c r="F85" s="29">
        <v>1</v>
      </c>
      <c r="G85" s="29">
        <v>1</v>
      </c>
      <c r="H85" s="29">
        <v>1</v>
      </c>
      <c r="I85" s="28">
        <v>0</v>
      </c>
      <c r="J85" s="27" t="str">
        <f t="shared" si="6"/>
        <v>0x4E</v>
      </c>
      <c r="K85" s="22" t="str">
        <f t="shared" si="7"/>
        <v>#H4E#</v>
      </c>
    </row>
    <row r="86" spans="1:11" ht="16.5" thickBot="1" x14ac:dyDescent="0.3">
      <c r="A86" s="27">
        <v>79</v>
      </c>
      <c r="B86" s="30">
        <v>0</v>
      </c>
      <c r="C86" s="29">
        <v>1</v>
      </c>
      <c r="D86" s="29">
        <v>0</v>
      </c>
      <c r="E86" s="29">
        <v>0</v>
      </c>
      <c r="F86" s="29">
        <v>1</v>
      </c>
      <c r="G86" s="29">
        <v>1</v>
      </c>
      <c r="H86" s="29">
        <v>1</v>
      </c>
      <c r="I86" s="28">
        <v>1</v>
      </c>
      <c r="J86" s="27" t="str">
        <f t="shared" si="6"/>
        <v>0x4F</v>
      </c>
      <c r="K86" s="22" t="str">
        <f t="shared" si="7"/>
        <v>#H4F#</v>
      </c>
    </row>
    <row r="87" spans="1:11" ht="16.5" thickBot="1" x14ac:dyDescent="0.3">
      <c r="A87" s="27">
        <v>80</v>
      </c>
      <c r="B87" s="30">
        <v>0</v>
      </c>
      <c r="C87" s="29">
        <v>1</v>
      </c>
      <c r="D87" s="29">
        <v>0</v>
      </c>
      <c r="E87" s="29">
        <v>0</v>
      </c>
      <c r="F87" s="29">
        <v>0</v>
      </c>
      <c r="G87" s="29">
        <v>0</v>
      </c>
      <c r="H87" s="29">
        <v>0</v>
      </c>
      <c r="I87" s="28">
        <v>0</v>
      </c>
      <c r="J87" s="27" t="str">
        <f t="shared" si="6"/>
        <v>0x50</v>
      </c>
      <c r="K87" s="22" t="str">
        <f t="shared" si="7"/>
        <v>#H50#</v>
      </c>
    </row>
    <row r="88" spans="1:11" ht="16.5" thickBot="1" x14ac:dyDescent="0.3">
      <c r="A88" s="27">
        <v>81</v>
      </c>
      <c r="B88" s="30">
        <v>0</v>
      </c>
      <c r="C88" s="29">
        <v>1</v>
      </c>
      <c r="D88" s="29">
        <v>0</v>
      </c>
      <c r="E88" s="29">
        <v>0</v>
      </c>
      <c r="F88" s="29">
        <v>0</v>
      </c>
      <c r="G88" s="29">
        <v>0</v>
      </c>
      <c r="H88" s="29">
        <v>0</v>
      </c>
      <c r="I88" s="28">
        <v>1</v>
      </c>
      <c r="J88" s="27" t="str">
        <f t="shared" si="6"/>
        <v>0x51</v>
      </c>
      <c r="K88" s="22" t="str">
        <f t="shared" si="7"/>
        <v>#H51#</v>
      </c>
    </row>
    <row r="89" spans="1:11" ht="16.5" thickBot="1" x14ac:dyDescent="0.3">
      <c r="A89" s="27">
        <v>82</v>
      </c>
      <c r="B89" s="30">
        <v>0</v>
      </c>
      <c r="C89" s="29">
        <v>1</v>
      </c>
      <c r="D89" s="29">
        <v>0</v>
      </c>
      <c r="E89" s="29">
        <v>1</v>
      </c>
      <c r="F89" s="29">
        <v>0</v>
      </c>
      <c r="G89" s="29">
        <v>0</v>
      </c>
      <c r="H89" s="29">
        <v>1</v>
      </c>
      <c r="I89" s="28">
        <v>0</v>
      </c>
      <c r="J89" s="27" t="str">
        <f t="shared" si="6"/>
        <v>0x52</v>
      </c>
      <c r="K89" s="22" t="str">
        <f t="shared" si="7"/>
        <v>#H52#</v>
      </c>
    </row>
    <row r="90" spans="1:11" ht="16.5" thickBot="1" x14ac:dyDescent="0.3">
      <c r="A90" s="27">
        <v>83</v>
      </c>
      <c r="B90" s="30">
        <v>0</v>
      </c>
      <c r="C90" s="29">
        <v>1</v>
      </c>
      <c r="D90" s="29">
        <v>0</v>
      </c>
      <c r="E90" s="29">
        <v>1</v>
      </c>
      <c r="F90" s="29">
        <v>0</v>
      </c>
      <c r="G90" s="29">
        <v>0</v>
      </c>
      <c r="H90" s="29">
        <v>1</v>
      </c>
      <c r="I90" s="28">
        <v>1</v>
      </c>
      <c r="J90" s="27" t="str">
        <f t="shared" si="6"/>
        <v>0x53</v>
      </c>
      <c r="K90" s="22" t="str">
        <f t="shared" si="7"/>
        <v>#H53#</v>
      </c>
    </row>
    <row r="91" spans="1:11" ht="16.5" thickBot="1" x14ac:dyDescent="0.3">
      <c r="A91" s="27">
        <v>84</v>
      </c>
      <c r="B91" s="30">
        <v>0</v>
      </c>
      <c r="C91" s="29">
        <v>1</v>
      </c>
      <c r="D91" s="29">
        <v>0</v>
      </c>
      <c r="E91" s="29">
        <v>1</v>
      </c>
      <c r="F91" s="29">
        <v>0</v>
      </c>
      <c r="G91" s="29">
        <v>1</v>
      </c>
      <c r="H91" s="29">
        <v>0</v>
      </c>
      <c r="I91" s="28">
        <v>0</v>
      </c>
      <c r="J91" s="27" t="str">
        <f t="shared" si="6"/>
        <v>0x54</v>
      </c>
      <c r="K91" s="22" t="str">
        <f t="shared" si="7"/>
        <v>#H54#</v>
      </c>
    </row>
    <row r="92" spans="1:11" ht="16.5" thickBot="1" x14ac:dyDescent="0.3">
      <c r="A92" s="27">
        <v>85</v>
      </c>
      <c r="B92" s="30">
        <v>0</v>
      </c>
      <c r="C92" s="29">
        <v>1</v>
      </c>
      <c r="D92" s="29">
        <v>0</v>
      </c>
      <c r="E92" s="29">
        <v>1</v>
      </c>
      <c r="F92" s="29">
        <v>0</v>
      </c>
      <c r="G92" s="29">
        <v>1</v>
      </c>
      <c r="H92" s="29">
        <v>0</v>
      </c>
      <c r="I92" s="28">
        <v>1</v>
      </c>
      <c r="J92" s="27" t="str">
        <f t="shared" si="6"/>
        <v>0x55</v>
      </c>
      <c r="K92" s="22" t="str">
        <f t="shared" si="7"/>
        <v>#H55#</v>
      </c>
    </row>
    <row r="93" spans="1:11" ht="16.5" thickBot="1" x14ac:dyDescent="0.3">
      <c r="A93" s="27">
        <v>86</v>
      </c>
      <c r="B93" s="30">
        <v>0</v>
      </c>
      <c r="C93" s="29">
        <v>1</v>
      </c>
      <c r="D93" s="29">
        <v>0</v>
      </c>
      <c r="E93" s="29">
        <v>1</v>
      </c>
      <c r="F93" s="29">
        <v>0</v>
      </c>
      <c r="G93" s="29">
        <v>1</v>
      </c>
      <c r="H93" s="29">
        <v>1</v>
      </c>
      <c r="I93" s="28">
        <v>0</v>
      </c>
      <c r="J93" s="27" t="str">
        <f t="shared" si="6"/>
        <v>0x56</v>
      </c>
      <c r="K93" s="22" t="str">
        <f t="shared" si="7"/>
        <v>#H56#</v>
      </c>
    </row>
    <row r="94" spans="1:11" ht="16.5" thickBot="1" x14ac:dyDescent="0.3">
      <c r="A94" s="27">
        <v>87</v>
      </c>
      <c r="B94" s="30">
        <v>0</v>
      </c>
      <c r="C94" s="29">
        <v>1</v>
      </c>
      <c r="D94" s="29">
        <v>0</v>
      </c>
      <c r="E94" s="29">
        <v>1</v>
      </c>
      <c r="F94" s="29">
        <v>0</v>
      </c>
      <c r="G94" s="29">
        <v>1</v>
      </c>
      <c r="H94" s="29">
        <v>1</v>
      </c>
      <c r="I94" s="28">
        <v>1</v>
      </c>
      <c r="J94" s="27" t="str">
        <f t="shared" si="6"/>
        <v>0x57</v>
      </c>
      <c r="K94" s="22" t="str">
        <f t="shared" si="7"/>
        <v>#H57#</v>
      </c>
    </row>
    <row r="95" spans="1:11" ht="16.5" thickBot="1" x14ac:dyDescent="0.3">
      <c r="A95" s="27">
        <v>88</v>
      </c>
      <c r="B95" s="30">
        <v>0</v>
      </c>
      <c r="C95" s="29">
        <v>1</v>
      </c>
      <c r="D95" s="29">
        <v>0</v>
      </c>
      <c r="E95" s="29">
        <v>1</v>
      </c>
      <c r="F95" s="29">
        <v>1</v>
      </c>
      <c r="G95" s="29">
        <v>0</v>
      </c>
      <c r="H95" s="29">
        <v>0</v>
      </c>
      <c r="I95" s="28">
        <v>0</v>
      </c>
      <c r="J95" s="27" t="str">
        <f t="shared" si="6"/>
        <v>0x58</v>
      </c>
      <c r="K95" s="22" t="str">
        <f t="shared" si="7"/>
        <v>#H58#</v>
      </c>
    </row>
    <row r="96" spans="1:11" ht="16.5" thickBot="1" x14ac:dyDescent="0.3">
      <c r="A96" s="27">
        <v>89</v>
      </c>
      <c r="B96" s="30">
        <v>0</v>
      </c>
      <c r="C96" s="29">
        <v>1</v>
      </c>
      <c r="D96" s="29">
        <v>0</v>
      </c>
      <c r="E96" s="29">
        <v>1</v>
      </c>
      <c r="F96" s="29">
        <v>1</v>
      </c>
      <c r="G96" s="29">
        <v>0</v>
      </c>
      <c r="H96" s="29">
        <v>0</v>
      </c>
      <c r="I96" s="28">
        <v>1</v>
      </c>
      <c r="J96" s="27" t="str">
        <f t="shared" si="6"/>
        <v>0x59</v>
      </c>
      <c r="K96" s="22" t="str">
        <f t="shared" si="7"/>
        <v>#H59#</v>
      </c>
    </row>
    <row r="97" spans="1:11" ht="16.5" thickBot="1" x14ac:dyDescent="0.3">
      <c r="A97" s="27">
        <v>90</v>
      </c>
      <c r="B97" s="30">
        <v>0</v>
      </c>
      <c r="C97" s="29">
        <v>1</v>
      </c>
      <c r="D97" s="29">
        <v>0</v>
      </c>
      <c r="E97" s="29">
        <v>1</v>
      </c>
      <c r="F97" s="29">
        <v>1</v>
      </c>
      <c r="G97" s="29">
        <v>0</v>
      </c>
      <c r="H97" s="29">
        <v>1</v>
      </c>
      <c r="I97" s="28">
        <v>0</v>
      </c>
      <c r="J97" s="27" t="str">
        <f t="shared" si="6"/>
        <v>0x5A</v>
      </c>
      <c r="K97" s="22" t="str">
        <f t="shared" si="7"/>
        <v>#H5A#</v>
      </c>
    </row>
    <row r="98" spans="1:11" ht="16.5" thickBot="1" x14ac:dyDescent="0.3">
      <c r="A98" s="27">
        <v>91</v>
      </c>
      <c r="B98" s="30">
        <v>0</v>
      </c>
      <c r="C98" s="29">
        <v>1</v>
      </c>
      <c r="D98" s="29">
        <v>0</v>
      </c>
      <c r="E98" s="29">
        <v>1</v>
      </c>
      <c r="F98" s="29">
        <v>1</v>
      </c>
      <c r="G98" s="29">
        <v>0</v>
      </c>
      <c r="H98" s="29">
        <v>1</v>
      </c>
      <c r="I98" s="28">
        <v>1</v>
      </c>
      <c r="J98" s="27" t="str">
        <f t="shared" si="6"/>
        <v>0x5B</v>
      </c>
      <c r="K98" s="22" t="str">
        <f t="shared" si="7"/>
        <v>#H5B#</v>
      </c>
    </row>
    <row r="99" spans="1:11" ht="16.5" thickBot="1" x14ac:dyDescent="0.3">
      <c r="A99" s="27">
        <v>92</v>
      </c>
      <c r="B99" s="30">
        <v>0</v>
      </c>
      <c r="C99" s="29">
        <v>1</v>
      </c>
      <c r="D99" s="29">
        <v>0</v>
      </c>
      <c r="E99" s="29">
        <v>1</v>
      </c>
      <c r="F99" s="29">
        <v>1</v>
      </c>
      <c r="G99" s="29">
        <v>1</v>
      </c>
      <c r="H99" s="29">
        <v>0</v>
      </c>
      <c r="I99" s="28">
        <v>0</v>
      </c>
      <c r="J99" s="27" t="str">
        <f t="shared" si="6"/>
        <v>0x5C</v>
      </c>
      <c r="K99" s="22" t="str">
        <f t="shared" si="7"/>
        <v>#H5C#</v>
      </c>
    </row>
    <row r="100" spans="1:11" ht="16.5" thickBot="1" x14ac:dyDescent="0.3">
      <c r="A100" s="27">
        <v>93</v>
      </c>
      <c r="B100" s="30">
        <v>0</v>
      </c>
      <c r="C100" s="29">
        <v>1</v>
      </c>
      <c r="D100" s="29">
        <v>0</v>
      </c>
      <c r="E100" s="29">
        <v>1</v>
      </c>
      <c r="F100" s="29">
        <v>1</v>
      </c>
      <c r="G100" s="29">
        <v>1</v>
      </c>
      <c r="H100" s="29">
        <v>0</v>
      </c>
      <c r="I100" s="28">
        <v>1</v>
      </c>
      <c r="J100" s="27" t="str">
        <f t="shared" si="6"/>
        <v>0x5D</v>
      </c>
      <c r="K100" s="22" t="str">
        <f t="shared" si="7"/>
        <v>#H5D#</v>
      </c>
    </row>
    <row r="101" spans="1:11" ht="16.5" thickBot="1" x14ac:dyDescent="0.3">
      <c r="A101" s="27">
        <v>94</v>
      </c>
      <c r="B101" s="30">
        <v>0</v>
      </c>
      <c r="C101" s="29">
        <v>1</v>
      </c>
      <c r="D101" s="29">
        <v>0</v>
      </c>
      <c r="E101" s="29">
        <v>1</v>
      </c>
      <c r="F101" s="29">
        <v>1</v>
      </c>
      <c r="G101" s="29">
        <v>1</v>
      </c>
      <c r="H101" s="29">
        <v>1</v>
      </c>
      <c r="I101" s="28">
        <v>0</v>
      </c>
      <c r="J101" s="27" t="str">
        <f t="shared" si="6"/>
        <v>0x5E</v>
      </c>
      <c r="K101" s="22" t="str">
        <f t="shared" si="7"/>
        <v>#H5E#</v>
      </c>
    </row>
    <row r="102" spans="1:11" ht="16.5" thickBot="1" x14ac:dyDescent="0.3">
      <c r="A102" s="27">
        <v>95</v>
      </c>
      <c r="B102" s="30">
        <v>0</v>
      </c>
      <c r="C102" s="29">
        <v>1</v>
      </c>
      <c r="D102" s="29">
        <v>0</v>
      </c>
      <c r="E102" s="29">
        <v>1</v>
      </c>
      <c r="F102" s="29">
        <v>1</v>
      </c>
      <c r="G102" s="29">
        <v>1</v>
      </c>
      <c r="H102" s="29">
        <v>1</v>
      </c>
      <c r="I102" s="28">
        <v>1</v>
      </c>
      <c r="J102" s="27" t="str">
        <f t="shared" si="6"/>
        <v>0x5F</v>
      </c>
      <c r="K102" s="22" t="str">
        <f t="shared" si="7"/>
        <v>#H5F#</v>
      </c>
    </row>
    <row r="103" spans="1:11" ht="16.5" thickBot="1" x14ac:dyDescent="0.3">
      <c r="A103" s="27">
        <v>96</v>
      </c>
      <c r="B103" s="30">
        <v>0</v>
      </c>
      <c r="C103" s="29">
        <v>1</v>
      </c>
      <c r="D103" s="29">
        <v>1</v>
      </c>
      <c r="E103" s="29">
        <v>0</v>
      </c>
      <c r="F103" s="29">
        <v>0</v>
      </c>
      <c r="G103" s="29">
        <v>0</v>
      </c>
      <c r="H103" s="29">
        <v>0</v>
      </c>
      <c r="I103" s="28">
        <v>0</v>
      </c>
      <c r="J103" s="27" t="str">
        <f t="shared" si="6"/>
        <v>0x60</v>
      </c>
      <c r="K103" s="22" t="str">
        <f t="shared" si="7"/>
        <v>#H60#</v>
      </c>
    </row>
    <row r="104" spans="1:11" ht="16.5" thickBot="1" x14ac:dyDescent="0.3">
      <c r="A104" s="27">
        <v>97</v>
      </c>
      <c r="B104" s="30">
        <v>0</v>
      </c>
      <c r="C104" s="29">
        <v>1</v>
      </c>
      <c r="D104" s="29">
        <v>1</v>
      </c>
      <c r="E104" s="29">
        <v>0</v>
      </c>
      <c r="F104" s="29">
        <v>0</v>
      </c>
      <c r="G104" s="29">
        <v>0</v>
      </c>
      <c r="H104" s="29">
        <v>0</v>
      </c>
      <c r="I104" s="28">
        <v>1</v>
      </c>
      <c r="J104" s="27" t="str">
        <f t="shared" si="6"/>
        <v>0x61</v>
      </c>
      <c r="K104" s="22" t="str">
        <f t="shared" si="7"/>
        <v>#H61#</v>
      </c>
    </row>
    <row r="105" spans="1:11" ht="16.5" thickBot="1" x14ac:dyDescent="0.3">
      <c r="A105" s="27">
        <v>98</v>
      </c>
      <c r="B105" s="30">
        <v>0</v>
      </c>
      <c r="C105" s="29">
        <v>1</v>
      </c>
      <c r="D105" s="29">
        <v>1</v>
      </c>
      <c r="E105" s="29">
        <v>0</v>
      </c>
      <c r="F105" s="29">
        <v>0</v>
      </c>
      <c r="G105" s="29">
        <v>0</v>
      </c>
      <c r="H105" s="29">
        <v>1</v>
      </c>
      <c r="I105" s="28">
        <v>0</v>
      </c>
      <c r="J105" s="27" t="str">
        <f t="shared" si="6"/>
        <v>0x62</v>
      </c>
      <c r="K105" s="22" t="str">
        <f t="shared" si="7"/>
        <v>#H62#</v>
      </c>
    </row>
    <row r="106" spans="1:11" ht="16.5" thickBot="1" x14ac:dyDescent="0.3">
      <c r="A106" s="27">
        <v>99</v>
      </c>
      <c r="B106" s="30">
        <v>0</v>
      </c>
      <c r="C106" s="29">
        <v>1</v>
      </c>
      <c r="D106" s="29">
        <v>1</v>
      </c>
      <c r="E106" s="29">
        <v>0</v>
      </c>
      <c r="F106" s="29">
        <v>0</v>
      </c>
      <c r="G106" s="29">
        <v>0</v>
      </c>
      <c r="H106" s="29">
        <v>1</v>
      </c>
      <c r="I106" s="28">
        <v>1</v>
      </c>
      <c r="J106" s="27" t="str">
        <f t="shared" si="6"/>
        <v>0x63</v>
      </c>
      <c r="K106" s="22" t="str">
        <f t="shared" si="7"/>
        <v>#H63#</v>
      </c>
    </row>
    <row r="107" spans="1:11" ht="16.5" thickBot="1" x14ac:dyDescent="0.3">
      <c r="A107" s="27">
        <v>100</v>
      </c>
      <c r="B107" s="30">
        <v>0</v>
      </c>
      <c r="C107" s="29">
        <v>1</v>
      </c>
      <c r="D107" s="29">
        <v>1</v>
      </c>
      <c r="E107" s="29">
        <v>0</v>
      </c>
      <c r="F107" s="29">
        <v>0</v>
      </c>
      <c r="G107" s="29">
        <v>1</v>
      </c>
      <c r="H107" s="29">
        <v>0</v>
      </c>
      <c r="I107" s="28">
        <v>0</v>
      </c>
      <c r="J107" s="27" t="str">
        <f t="shared" si="6"/>
        <v>0x64</v>
      </c>
      <c r="K107" s="22" t="str">
        <f t="shared" si="7"/>
        <v>#H64#</v>
      </c>
    </row>
    <row r="108" spans="1:11" ht="16.5" thickBot="1" x14ac:dyDescent="0.3">
      <c r="A108" s="27">
        <v>101</v>
      </c>
      <c r="B108" s="30">
        <v>0</v>
      </c>
      <c r="C108" s="29">
        <v>1</v>
      </c>
      <c r="D108" s="29">
        <v>1</v>
      </c>
      <c r="E108" s="29">
        <v>0</v>
      </c>
      <c r="F108" s="29">
        <v>0</v>
      </c>
      <c r="G108" s="29">
        <v>1</v>
      </c>
      <c r="H108" s="29">
        <v>0</v>
      </c>
      <c r="I108" s="28">
        <v>1</v>
      </c>
      <c r="J108" s="27" t="str">
        <f t="shared" si="6"/>
        <v>0x65</v>
      </c>
      <c r="K108" s="22" t="str">
        <f t="shared" si="7"/>
        <v>#H65#</v>
      </c>
    </row>
    <row r="109" spans="1:11" ht="16.5" thickBot="1" x14ac:dyDescent="0.3">
      <c r="A109" s="27">
        <v>102</v>
      </c>
      <c r="B109" s="30">
        <v>0</v>
      </c>
      <c r="C109" s="29">
        <v>1</v>
      </c>
      <c r="D109" s="29">
        <v>1</v>
      </c>
      <c r="E109" s="29">
        <v>0</v>
      </c>
      <c r="F109" s="29">
        <v>0</v>
      </c>
      <c r="G109" s="29">
        <v>1</v>
      </c>
      <c r="H109" s="29">
        <v>1</v>
      </c>
      <c r="I109" s="28">
        <v>0</v>
      </c>
      <c r="J109" s="27" t="str">
        <f t="shared" si="6"/>
        <v>0x66</v>
      </c>
      <c r="K109" s="22" t="str">
        <f t="shared" si="7"/>
        <v>#H66#</v>
      </c>
    </row>
    <row r="110" spans="1:11" ht="16.5" thickBot="1" x14ac:dyDescent="0.3">
      <c r="A110" s="27">
        <v>103</v>
      </c>
      <c r="B110" s="30">
        <v>0</v>
      </c>
      <c r="C110" s="29">
        <v>1</v>
      </c>
      <c r="D110" s="29">
        <v>1</v>
      </c>
      <c r="E110" s="29">
        <v>0</v>
      </c>
      <c r="F110" s="29">
        <v>0</v>
      </c>
      <c r="G110" s="29">
        <v>1</v>
      </c>
      <c r="H110" s="29">
        <v>1</v>
      </c>
      <c r="I110" s="28">
        <v>1</v>
      </c>
      <c r="J110" s="27" t="str">
        <f t="shared" si="6"/>
        <v>0x67</v>
      </c>
      <c r="K110" s="22" t="str">
        <f t="shared" si="7"/>
        <v>#H67#</v>
      </c>
    </row>
    <row r="111" spans="1:11" ht="16.5" thickBot="1" x14ac:dyDescent="0.3">
      <c r="A111" s="27">
        <v>104</v>
      </c>
      <c r="B111" s="30">
        <v>0</v>
      </c>
      <c r="C111" s="29">
        <v>1</v>
      </c>
      <c r="D111" s="29">
        <v>1</v>
      </c>
      <c r="E111" s="29">
        <v>0</v>
      </c>
      <c r="F111" s="29">
        <v>1</v>
      </c>
      <c r="G111" s="29">
        <v>0</v>
      </c>
      <c r="H111" s="29">
        <v>0</v>
      </c>
      <c r="I111" s="28">
        <v>0</v>
      </c>
      <c r="J111" s="27" t="str">
        <f t="shared" si="6"/>
        <v>0x68</v>
      </c>
      <c r="K111" s="22" t="str">
        <f t="shared" si="7"/>
        <v>#H68#</v>
      </c>
    </row>
    <row r="112" spans="1:11" ht="16.5" thickBot="1" x14ac:dyDescent="0.3">
      <c r="A112" s="27">
        <v>105</v>
      </c>
      <c r="B112" s="30">
        <v>0</v>
      </c>
      <c r="C112" s="29">
        <v>1</v>
      </c>
      <c r="D112" s="29">
        <v>1</v>
      </c>
      <c r="E112" s="29">
        <v>0</v>
      </c>
      <c r="F112" s="29">
        <v>1</v>
      </c>
      <c r="G112" s="29">
        <v>0</v>
      </c>
      <c r="H112" s="29">
        <v>0</v>
      </c>
      <c r="I112" s="28">
        <v>1</v>
      </c>
      <c r="J112" s="27" t="str">
        <f t="shared" si="6"/>
        <v>0x69</v>
      </c>
      <c r="K112" s="22" t="str">
        <f t="shared" si="7"/>
        <v>#H69#</v>
      </c>
    </row>
    <row r="113" spans="1:11" ht="16.5" thickBot="1" x14ac:dyDescent="0.3">
      <c r="A113" s="27">
        <v>106</v>
      </c>
      <c r="B113" s="30">
        <v>0</v>
      </c>
      <c r="C113" s="29">
        <v>1</v>
      </c>
      <c r="D113" s="29">
        <v>1</v>
      </c>
      <c r="E113" s="29">
        <v>0</v>
      </c>
      <c r="F113" s="29">
        <v>1</v>
      </c>
      <c r="G113" s="29">
        <v>0</v>
      </c>
      <c r="H113" s="29">
        <v>1</v>
      </c>
      <c r="I113" s="28">
        <v>0</v>
      </c>
      <c r="J113" s="27" t="str">
        <f t="shared" si="6"/>
        <v>0x6A</v>
      </c>
      <c r="K113" s="22" t="str">
        <f t="shared" si="7"/>
        <v>#H6A#</v>
      </c>
    </row>
    <row r="114" spans="1:11" ht="16.5" thickBot="1" x14ac:dyDescent="0.3">
      <c r="A114" s="27">
        <v>107</v>
      </c>
      <c r="B114" s="30">
        <v>0</v>
      </c>
      <c r="C114" s="29">
        <v>1</v>
      </c>
      <c r="D114" s="29">
        <v>1</v>
      </c>
      <c r="E114" s="29">
        <v>0</v>
      </c>
      <c r="F114" s="29">
        <v>1</v>
      </c>
      <c r="G114" s="29">
        <v>0</v>
      </c>
      <c r="H114" s="29">
        <v>1</v>
      </c>
      <c r="I114" s="28">
        <v>1</v>
      </c>
      <c r="J114" s="27" t="str">
        <f t="shared" si="6"/>
        <v>0x6B</v>
      </c>
      <c r="K114" s="22" t="str">
        <f t="shared" si="7"/>
        <v>#H6B#</v>
      </c>
    </row>
    <row r="115" spans="1:11" ht="16.5" thickBot="1" x14ac:dyDescent="0.3">
      <c r="A115" s="27">
        <v>108</v>
      </c>
      <c r="B115" s="30">
        <v>0</v>
      </c>
      <c r="C115" s="29">
        <v>1</v>
      </c>
      <c r="D115" s="29">
        <v>1</v>
      </c>
      <c r="E115" s="29">
        <v>0</v>
      </c>
      <c r="F115" s="29">
        <v>1</v>
      </c>
      <c r="G115" s="29">
        <v>1</v>
      </c>
      <c r="H115" s="29">
        <v>0</v>
      </c>
      <c r="I115" s="28">
        <v>0</v>
      </c>
      <c r="J115" s="27" t="str">
        <f t="shared" si="6"/>
        <v>0x6C</v>
      </c>
      <c r="K115" s="22" t="str">
        <f t="shared" si="7"/>
        <v>#H6C#</v>
      </c>
    </row>
    <row r="116" spans="1:11" ht="16.5" thickBot="1" x14ac:dyDescent="0.3">
      <c r="A116" s="27">
        <v>109</v>
      </c>
      <c r="B116" s="30">
        <v>0</v>
      </c>
      <c r="C116" s="29">
        <v>1</v>
      </c>
      <c r="D116" s="29">
        <v>1</v>
      </c>
      <c r="E116" s="29">
        <v>0</v>
      </c>
      <c r="F116" s="29">
        <v>1</v>
      </c>
      <c r="G116" s="29">
        <v>1</v>
      </c>
      <c r="H116" s="29">
        <v>0</v>
      </c>
      <c r="I116" s="28">
        <v>1</v>
      </c>
      <c r="J116" s="27" t="str">
        <f t="shared" si="6"/>
        <v>0x6D</v>
      </c>
      <c r="K116" s="22" t="str">
        <f t="shared" si="7"/>
        <v>#H6D#</v>
      </c>
    </row>
    <row r="117" spans="1:11" ht="16.5" thickBot="1" x14ac:dyDescent="0.3">
      <c r="A117" s="27">
        <v>110</v>
      </c>
      <c r="B117" s="30">
        <v>0</v>
      </c>
      <c r="C117" s="29">
        <v>1</v>
      </c>
      <c r="D117" s="29">
        <v>1</v>
      </c>
      <c r="E117" s="29">
        <v>0</v>
      </c>
      <c r="F117" s="29">
        <v>1</v>
      </c>
      <c r="G117" s="29">
        <v>1</v>
      </c>
      <c r="H117" s="29">
        <v>1</v>
      </c>
      <c r="I117" s="28">
        <v>0</v>
      </c>
      <c r="J117" s="27" t="str">
        <f t="shared" si="6"/>
        <v>0x6E</v>
      </c>
      <c r="K117" s="22" t="str">
        <f t="shared" si="7"/>
        <v>#H6E#</v>
      </c>
    </row>
    <row r="118" spans="1:11" ht="16.5" thickBot="1" x14ac:dyDescent="0.3">
      <c r="A118" s="27">
        <v>111</v>
      </c>
      <c r="B118" s="30">
        <v>0</v>
      </c>
      <c r="C118" s="29">
        <v>1</v>
      </c>
      <c r="D118" s="29">
        <v>1</v>
      </c>
      <c r="E118" s="29">
        <v>0</v>
      </c>
      <c r="F118" s="29">
        <v>1</v>
      </c>
      <c r="G118" s="29">
        <v>1</v>
      </c>
      <c r="H118" s="29">
        <v>1</v>
      </c>
      <c r="I118" s="28">
        <v>1</v>
      </c>
      <c r="J118" s="27" t="str">
        <f t="shared" si="6"/>
        <v>0x6F</v>
      </c>
      <c r="K118" s="22" t="str">
        <f t="shared" si="7"/>
        <v>#H6F#</v>
      </c>
    </row>
    <row r="119" spans="1:11" ht="16.5" thickBot="1" x14ac:dyDescent="0.3">
      <c r="A119" s="27">
        <v>112</v>
      </c>
      <c r="B119" s="30">
        <v>0</v>
      </c>
      <c r="C119" s="29">
        <v>1</v>
      </c>
      <c r="D119" s="29">
        <v>1</v>
      </c>
      <c r="E119" s="29">
        <v>0</v>
      </c>
      <c r="F119" s="29">
        <v>0</v>
      </c>
      <c r="G119" s="29">
        <v>0</v>
      </c>
      <c r="H119" s="29">
        <v>0</v>
      </c>
      <c r="I119" s="28">
        <v>0</v>
      </c>
      <c r="J119" s="27" t="str">
        <f t="shared" si="6"/>
        <v>0x70</v>
      </c>
      <c r="K119" s="22" t="str">
        <f t="shared" si="7"/>
        <v>#H70#</v>
      </c>
    </row>
    <row r="120" spans="1:11" ht="16.5" thickBot="1" x14ac:dyDescent="0.3">
      <c r="A120" s="27">
        <v>113</v>
      </c>
      <c r="B120" s="30">
        <v>0</v>
      </c>
      <c r="C120" s="29">
        <v>1</v>
      </c>
      <c r="D120" s="29">
        <v>1</v>
      </c>
      <c r="E120" s="29">
        <v>0</v>
      </c>
      <c r="F120" s="29">
        <v>0</v>
      </c>
      <c r="G120" s="29">
        <v>0</v>
      </c>
      <c r="H120" s="29">
        <v>0</v>
      </c>
      <c r="I120" s="28">
        <v>1</v>
      </c>
      <c r="J120" s="27" t="str">
        <f t="shared" si="6"/>
        <v>0x71</v>
      </c>
      <c r="K120" s="22" t="str">
        <f t="shared" si="7"/>
        <v>#H71#</v>
      </c>
    </row>
    <row r="121" spans="1:11" ht="16.5" thickBot="1" x14ac:dyDescent="0.3">
      <c r="A121" s="27">
        <v>114</v>
      </c>
      <c r="B121" s="30">
        <v>0</v>
      </c>
      <c r="C121" s="29">
        <v>1</v>
      </c>
      <c r="D121" s="29">
        <v>1</v>
      </c>
      <c r="E121" s="29">
        <v>0</v>
      </c>
      <c r="F121" s="29">
        <v>0</v>
      </c>
      <c r="G121" s="29">
        <v>0</v>
      </c>
      <c r="H121" s="29">
        <v>1</v>
      </c>
      <c r="I121" s="28">
        <v>0</v>
      </c>
      <c r="J121" s="27" t="str">
        <f t="shared" si="6"/>
        <v>0x72</v>
      </c>
      <c r="K121" s="22" t="str">
        <f t="shared" si="7"/>
        <v>#H72#</v>
      </c>
    </row>
    <row r="122" spans="1:11" ht="16.5" thickBot="1" x14ac:dyDescent="0.3">
      <c r="A122" s="27">
        <v>115</v>
      </c>
      <c r="B122" s="30">
        <v>0</v>
      </c>
      <c r="C122" s="29">
        <v>1</v>
      </c>
      <c r="D122" s="29">
        <v>1</v>
      </c>
      <c r="E122" s="29">
        <v>1</v>
      </c>
      <c r="F122" s="29">
        <v>0</v>
      </c>
      <c r="G122" s="29">
        <v>0</v>
      </c>
      <c r="H122" s="29">
        <v>1</v>
      </c>
      <c r="I122" s="28">
        <v>1</v>
      </c>
      <c r="J122" s="27" t="str">
        <f t="shared" si="6"/>
        <v>0x73</v>
      </c>
      <c r="K122" s="22" t="str">
        <f t="shared" si="7"/>
        <v>#H73#</v>
      </c>
    </row>
    <row r="123" spans="1:11" ht="16.5" thickBot="1" x14ac:dyDescent="0.3">
      <c r="A123" s="27">
        <v>116</v>
      </c>
      <c r="B123" s="30">
        <v>0</v>
      </c>
      <c r="C123" s="29">
        <v>1</v>
      </c>
      <c r="D123" s="29">
        <v>1</v>
      </c>
      <c r="E123" s="29">
        <v>1</v>
      </c>
      <c r="F123" s="29">
        <v>0</v>
      </c>
      <c r="G123" s="29">
        <v>1</v>
      </c>
      <c r="H123" s="29">
        <v>0</v>
      </c>
      <c r="I123" s="28">
        <v>0</v>
      </c>
      <c r="J123" s="27" t="str">
        <f t="shared" si="6"/>
        <v>0x74</v>
      </c>
      <c r="K123" s="22" t="str">
        <f t="shared" si="7"/>
        <v>#H74#</v>
      </c>
    </row>
    <row r="124" spans="1:11" ht="16.5" thickBot="1" x14ac:dyDescent="0.3">
      <c r="A124" s="27">
        <v>117</v>
      </c>
      <c r="B124" s="30">
        <v>0</v>
      </c>
      <c r="C124" s="29">
        <v>1</v>
      </c>
      <c r="D124" s="29">
        <v>1</v>
      </c>
      <c r="E124" s="29">
        <v>1</v>
      </c>
      <c r="F124" s="29">
        <v>0</v>
      </c>
      <c r="G124" s="29">
        <v>1</v>
      </c>
      <c r="H124" s="29">
        <v>0</v>
      </c>
      <c r="I124" s="28">
        <v>1</v>
      </c>
      <c r="J124" s="27" t="str">
        <f t="shared" si="6"/>
        <v>0x75</v>
      </c>
      <c r="K124" s="22" t="str">
        <f t="shared" si="7"/>
        <v>#H75#</v>
      </c>
    </row>
    <row r="125" spans="1:11" ht="16.5" thickBot="1" x14ac:dyDescent="0.3">
      <c r="A125" s="27">
        <v>118</v>
      </c>
      <c r="B125" s="30">
        <v>0</v>
      </c>
      <c r="C125" s="29">
        <v>1</v>
      </c>
      <c r="D125" s="29">
        <v>1</v>
      </c>
      <c r="E125" s="29">
        <v>1</v>
      </c>
      <c r="F125" s="29">
        <v>0</v>
      </c>
      <c r="G125" s="29">
        <v>1</v>
      </c>
      <c r="H125" s="29">
        <v>1</v>
      </c>
      <c r="I125" s="28">
        <v>0</v>
      </c>
      <c r="J125" s="27" t="str">
        <f t="shared" si="6"/>
        <v>0x76</v>
      </c>
      <c r="K125" s="22" t="str">
        <f t="shared" si="7"/>
        <v>#H76#</v>
      </c>
    </row>
    <row r="126" spans="1:11" ht="16.5" thickBot="1" x14ac:dyDescent="0.3">
      <c r="A126" s="27">
        <v>119</v>
      </c>
      <c r="B126" s="30">
        <v>0</v>
      </c>
      <c r="C126" s="29">
        <v>1</v>
      </c>
      <c r="D126" s="29">
        <v>1</v>
      </c>
      <c r="E126" s="29">
        <v>1</v>
      </c>
      <c r="F126" s="29">
        <v>0</v>
      </c>
      <c r="G126" s="29">
        <v>1</v>
      </c>
      <c r="H126" s="29">
        <v>1</v>
      </c>
      <c r="I126" s="28">
        <v>1</v>
      </c>
      <c r="J126" s="27" t="str">
        <f t="shared" si="6"/>
        <v>0x77</v>
      </c>
      <c r="K126" s="22" t="str">
        <f t="shared" si="7"/>
        <v>#H77#</v>
      </c>
    </row>
    <row r="127" spans="1:11" ht="16.5" thickBot="1" x14ac:dyDescent="0.3">
      <c r="A127" s="27">
        <v>120</v>
      </c>
      <c r="B127" s="30">
        <v>0</v>
      </c>
      <c r="C127" s="29">
        <v>1</v>
      </c>
      <c r="D127" s="29">
        <v>1</v>
      </c>
      <c r="E127" s="29">
        <v>1</v>
      </c>
      <c r="F127" s="29">
        <v>1</v>
      </c>
      <c r="G127" s="29">
        <v>0</v>
      </c>
      <c r="H127" s="29">
        <v>0</v>
      </c>
      <c r="I127" s="28">
        <v>0</v>
      </c>
      <c r="J127" s="27" t="str">
        <f t="shared" si="6"/>
        <v>0x78</v>
      </c>
      <c r="K127" s="22" t="str">
        <f t="shared" si="7"/>
        <v>#H78#</v>
      </c>
    </row>
    <row r="128" spans="1:11" ht="16.5" thickBot="1" x14ac:dyDescent="0.3">
      <c r="A128" s="27">
        <v>121</v>
      </c>
      <c r="B128" s="30">
        <v>0</v>
      </c>
      <c r="C128" s="29">
        <v>1</v>
      </c>
      <c r="D128" s="29">
        <v>1</v>
      </c>
      <c r="E128" s="29">
        <v>1</v>
      </c>
      <c r="F128" s="29">
        <v>1</v>
      </c>
      <c r="G128" s="29">
        <v>0</v>
      </c>
      <c r="H128" s="29">
        <v>0</v>
      </c>
      <c r="I128" s="28">
        <v>1</v>
      </c>
      <c r="J128" s="27" t="str">
        <f t="shared" si="6"/>
        <v>0x79</v>
      </c>
      <c r="K128" s="22" t="str">
        <f t="shared" si="7"/>
        <v>#H79#</v>
      </c>
    </row>
    <row r="129" spans="1:11" ht="16.5" thickBot="1" x14ac:dyDescent="0.3">
      <c r="A129" s="27">
        <v>122</v>
      </c>
      <c r="B129" s="30">
        <v>0</v>
      </c>
      <c r="C129" s="29">
        <v>1</v>
      </c>
      <c r="D129" s="29">
        <v>1</v>
      </c>
      <c r="E129" s="29">
        <v>1</v>
      </c>
      <c r="F129" s="29">
        <v>1</v>
      </c>
      <c r="G129" s="29">
        <v>0</v>
      </c>
      <c r="H129" s="29">
        <v>1</v>
      </c>
      <c r="I129" s="28">
        <v>0</v>
      </c>
      <c r="J129" s="27" t="str">
        <f t="shared" si="6"/>
        <v>0x7A</v>
      </c>
      <c r="K129" s="22" t="str">
        <f t="shared" si="7"/>
        <v>#H7A#</v>
      </c>
    </row>
    <row r="130" spans="1:11" ht="16.5" thickBot="1" x14ac:dyDescent="0.3">
      <c r="A130" s="27">
        <v>123</v>
      </c>
      <c r="B130" s="30">
        <v>0</v>
      </c>
      <c r="C130" s="29">
        <v>1</v>
      </c>
      <c r="D130" s="29">
        <v>1</v>
      </c>
      <c r="E130" s="29">
        <v>1</v>
      </c>
      <c r="F130" s="29">
        <v>1</v>
      </c>
      <c r="G130" s="29">
        <v>0</v>
      </c>
      <c r="H130" s="29">
        <v>1</v>
      </c>
      <c r="I130" s="28">
        <v>1</v>
      </c>
      <c r="J130" s="27" t="str">
        <f t="shared" si="6"/>
        <v>0x7B</v>
      </c>
      <c r="K130" s="22" t="str">
        <f t="shared" si="7"/>
        <v>#H7B#</v>
      </c>
    </row>
    <row r="131" spans="1:11" ht="16.5" thickBot="1" x14ac:dyDescent="0.3">
      <c r="A131" s="27">
        <v>124</v>
      </c>
      <c r="B131" s="30">
        <v>0</v>
      </c>
      <c r="C131" s="29">
        <v>1</v>
      </c>
      <c r="D131" s="29">
        <v>1</v>
      </c>
      <c r="E131" s="29">
        <v>1</v>
      </c>
      <c r="F131" s="29">
        <v>1</v>
      </c>
      <c r="G131" s="29">
        <v>1</v>
      </c>
      <c r="H131" s="29">
        <v>0</v>
      </c>
      <c r="I131" s="28">
        <v>0</v>
      </c>
      <c r="J131" s="27" t="str">
        <f t="shared" si="6"/>
        <v>0x7C</v>
      </c>
      <c r="K131" s="22" t="str">
        <f t="shared" si="7"/>
        <v>#H7C#</v>
      </c>
    </row>
    <row r="132" spans="1:11" ht="16.5" thickBot="1" x14ac:dyDescent="0.3">
      <c r="A132" s="27">
        <v>125</v>
      </c>
      <c r="B132" s="30">
        <v>0</v>
      </c>
      <c r="C132" s="29">
        <v>1</v>
      </c>
      <c r="D132" s="29">
        <v>1</v>
      </c>
      <c r="E132" s="29">
        <v>1</v>
      </c>
      <c r="F132" s="29">
        <v>1</v>
      </c>
      <c r="G132" s="29">
        <v>1</v>
      </c>
      <c r="H132" s="29">
        <v>0</v>
      </c>
      <c r="I132" s="28">
        <v>1</v>
      </c>
      <c r="J132" s="27" t="str">
        <f t="shared" si="6"/>
        <v>0x7D</v>
      </c>
      <c r="K132" s="22" t="str">
        <f t="shared" si="7"/>
        <v>#H7D#</v>
      </c>
    </row>
    <row r="133" spans="1:11" ht="16.5" thickBot="1" x14ac:dyDescent="0.3">
      <c r="A133" s="27">
        <v>126</v>
      </c>
      <c r="B133" s="30">
        <v>0</v>
      </c>
      <c r="C133" s="29">
        <v>1</v>
      </c>
      <c r="D133" s="29">
        <v>1</v>
      </c>
      <c r="E133" s="29">
        <v>1</v>
      </c>
      <c r="F133" s="29">
        <v>1</v>
      </c>
      <c r="G133" s="29">
        <v>1</v>
      </c>
      <c r="H133" s="29">
        <v>1</v>
      </c>
      <c r="I133" s="28">
        <v>0</v>
      </c>
      <c r="J133" s="27" t="str">
        <f t="shared" si="6"/>
        <v>0x7E</v>
      </c>
      <c r="K133" s="22" t="str">
        <f t="shared" si="7"/>
        <v>#H7E#</v>
      </c>
    </row>
    <row r="134" spans="1:11" ht="16.5" thickBot="1" x14ac:dyDescent="0.3">
      <c r="A134" s="27">
        <v>127</v>
      </c>
      <c r="B134" s="30">
        <v>0</v>
      </c>
      <c r="C134" s="29">
        <v>1</v>
      </c>
      <c r="D134" s="29">
        <v>1</v>
      </c>
      <c r="E134" s="29">
        <v>1</v>
      </c>
      <c r="F134" s="29">
        <v>1</v>
      </c>
      <c r="G134" s="29">
        <v>1</v>
      </c>
      <c r="H134" s="29">
        <v>1</v>
      </c>
      <c r="I134" s="28">
        <v>1</v>
      </c>
      <c r="J134" s="27" t="str">
        <f t="shared" si="6"/>
        <v>0x7F</v>
      </c>
      <c r="K134" s="22" t="str">
        <f t="shared" si="7"/>
        <v>#H7F#</v>
      </c>
    </row>
    <row r="135" spans="1:11" ht="16.5" thickBot="1" x14ac:dyDescent="0.3">
      <c r="A135" s="27">
        <v>128</v>
      </c>
      <c r="B135" s="30">
        <v>1</v>
      </c>
      <c r="C135" s="29">
        <v>0</v>
      </c>
      <c r="D135" s="29">
        <v>0</v>
      </c>
      <c r="E135" s="29">
        <v>0</v>
      </c>
      <c r="F135" s="29">
        <v>0</v>
      </c>
      <c r="G135" s="29">
        <v>0</v>
      </c>
      <c r="H135" s="29">
        <v>0</v>
      </c>
      <c r="I135" s="28">
        <v>0</v>
      </c>
      <c r="J135" s="27" t="str">
        <f t="shared" ref="J135:J198" si="8">"0x"&amp;LEFT("00", 2-LEN(DEC2HEX(A135)))&amp;DEC2HEX(A135)</f>
        <v>0x80</v>
      </c>
      <c r="K135" s="22" t="str">
        <f t="shared" ref="K135:K198" si="9">"#H"&amp;LEFT("00", 2-LEN(DEC2HEX(A135)))&amp;DEC2HEX(A135) &amp;"#"</f>
        <v>#H80#</v>
      </c>
    </row>
    <row r="136" spans="1:11" ht="16.5" thickBot="1" x14ac:dyDescent="0.3">
      <c r="A136" s="27">
        <v>129</v>
      </c>
      <c r="B136" s="30">
        <v>1</v>
      </c>
      <c r="C136" s="29">
        <v>0</v>
      </c>
      <c r="D136" s="29">
        <v>0</v>
      </c>
      <c r="E136" s="29">
        <v>0</v>
      </c>
      <c r="F136" s="29">
        <v>0</v>
      </c>
      <c r="G136" s="29">
        <v>0</v>
      </c>
      <c r="H136" s="29">
        <v>0</v>
      </c>
      <c r="I136" s="28">
        <v>1</v>
      </c>
      <c r="J136" s="27" t="str">
        <f t="shared" si="8"/>
        <v>0x81</v>
      </c>
      <c r="K136" s="22" t="str">
        <f t="shared" si="9"/>
        <v>#H81#</v>
      </c>
    </row>
    <row r="137" spans="1:11" ht="16.5" thickBot="1" x14ac:dyDescent="0.3">
      <c r="A137" s="27">
        <v>130</v>
      </c>
      <c r="B137" s="30">
        <v>1</v>
      </c>
      <c r="C137" s="29">
        <v>0</v>
      </c>
      <c r="D137" s="29">
        <v>0</v>
      </c>
      <c r="E137" s="29">
        <v>0</v>
      </c>
      <c r="F137" s="29">
        <v>0</v>
      </c>
      <c r="G137" s="29">
        <v>0</v>
      </c>
      <c r="H137" s="29">
        <v>1</v>
      </c>
      <c r="I137" s="28">
        <v>0</v>
      </c>
      <c r="J137" s="27" t="str">
        <f t="shared" si="8"/>
        <v>0x82</v>
      </c>
      <c r="K137" s="22" t="str">
        <f t="shared" si="9"/>
        <v>#H82#</v>
      </c>
    </row>
    <row r="138" spans="1:11" ht="16.5" thickBot="1" x14ac:dyDescent="0.3">
      <c r="A138" s="27">
        <v>131</v>
      </c>
      <c r="B138" s="30">
        <v>1</v>
      </c>
      <c r="C138" s="29">
        <v>0</v>
      </c>
      <c r="D138" s="29">
        <v>0</v>
      </c>
      <c r="E138" s="29">
        <v>0</v>
      </c>
      <c r="F138" s="29">
        <v>0</v>
      </c>
      <c r="G138" s="29">
        <v>0</v>
      </c>
      <c r="H138" s="29">
        <v>1</v>
      </c>
      <c r="I138" s="28">
        <v>1</v>
      </c>
      <c r="J138" s="27" t="str">
        <f t="shared" si="8"/>
        <v>0x83</v>
      </c>
      <c r="K138" s="22" t="str">
        <f t="shared" si="9"/>
        <v>#H83#</v>
      </c>
    </row>
    <row r="139" spans="1:11" ht="16.5" thickBot="1" x14ac:dyDescent="0.3">
      <c r="A139" s="27">
        <v>132</v>
      </c>
      <c r="B139" s="30">
        <v>1</v>
      </c>
      <c r="C139" s="29">
        <v>0</v>
      </c>
      <c r="D139" s="29">
        <v>0</v>
      </c>
      <c r="E139" s="29">
        <v>0</v>
      </c>
      <c r="F139" s="29">
        <v>0</v>
      </c>
      <c r="G139" s="29">
        <v>1</v>
      </c>
      <c r="H139" s="29">
        <v>0</v>
      </c>
      <c r="I139" s="28">
        <v>0</v>
      </c>
      <c r="J139" s="27" t="str">
        <f t="shared" si="8"/>
        <v>0x84</v>
      </c>
      <c r="K139" s="22" t="str">
        <f t="shared" si="9"/>
        <v>#H84#</v>
      </c>
    </row>
    <row r="140" spans="1:11" ht="16.5" thickBot="1" x14ac:dyDescent="0.3">
      <c r="A140" s="27">
        <v>133</v>
      </c>
      <c r="B140" s="30">
        <v>1</v>
      </c>
      <c r="C140" s="29">
        <v>0</v>
      </c>
      <c r="D140" s="29">
        <v>0</v>
      </c>
      <c r="E140" s="29">
        <v>0</v>
      </c>
      <c r="F140" s="29">
        <v>0</v>
      </c>
      <c r="G140" s="29">
        <v>1</v>
      </c>
      <c r="H140" s="29">
        <v>0</v>
      </c>
      <c r="I140" s="28">
        <v>1</v>
      </c>
      <c r="J140" s="27" t="str">
        <f t="shared" si="8"/>
        <v>0x85</v>
      </c>
      <c r="K140" s="22" t="str">
        <f t="shared" si="9"/>
        <v>#H85#</v>
      </c>
    </row>
    <row r="141" spans="1:11" ht="16.5" thickBot="1" x14ac:dyDescent="0.3">
      <c r="A141" s="27">
        <v>134</v>
      </c>
      <c r="B141" s="30">
        <v>1</v>
      </c>
      <c r="C141" s="29">
        <v>0</v>
      </c>
      <c r="D141" s="29">
        <v>0</v>
      </c>
      <c r="E141" s="29">
        <v>0</v>
      </c>
      <c r="F141" s="29">
        <v>0</v>
      </c>
      <c r="G141" s="29">
        <v>1</v>
      </c>
      <c r="H141" s="29">
        <v>1</v>
      </c>
      <c r="I141" s="28">
        <v>0</v>
      </c>
      <c r="J141" s="27" t="str">
        <f t="shared" si="8"/>
        <v>0x86</v>
      </c>
      <c r="K141" s="22" t="str">
        <f t="shared" si="9"/>
        <v>#H86#</v>
      </c>
    </row>
    <row r="142" spans="1:11" ht="16.5" thickBot="1" x14ac:dyDescent="0.3">
      <c r="A142" s="27">
        <v>135</v>
      </c>
      <c r="B142" s="30">
        <v>1</v>
      </c>
      <c r="C142" s="29">
        <v>0</v>
      </c>
      <c r="D142" s="29">
        <v>0</v>
      </c>
      <c r="E142" s="29">
        <v>0</v>
      </c>
      <c r="F142" s="29">
        <v>0</v>
      </c>
      <c r="G142" s="29">
        <v>1</v>
      </c>
      <c r="H142" s="29">
        <v>1</v>
      </c>
      <c r="I142" s="28">
        <v>1</v>
      </c>
      <c r="J142" s="27" t="str">
        <f t="shared" si="8"/>
        <v>0x87</v>
      </c>
      <c r="K142" s="22" t="str">
        <f t="shared" si="9"/>
        <v>#H87#</v>
      </c>
    </row>
    <row r="143" spans="1:11" ht="16.5" thickBot="1" x14ac:dyDescent="0.3">
      <c r="A143" s="27">
        <v>136</v>
      </c>
      <c r="B143" s="30">
        <v>1</v>
      </c>
      <c r="C143" s="29">
        <v>0</v>
      </c>
      <c r="D143" s="29">
        <v>0</v>
      </c>
      <c r="E143" s="29">
        <v>0</v>
      </c>
      <c r="F143" s="29">
        <v>1</v>
      </c>
      <c r="G143" s="29">
        <v>0</v>
      </c>
      <c r="H143" s="29">
        <v>0</v>
      </c>
      <c r="I143" s="28">
        <v>0</v>
      </c>
      <c r="J143" s="27" t="str">
        <f t="shared" si="8"/>
        <v>0x88</v>
      </c>
      <c r="K143" s="22" t="str">
        <f t="shared" si="9"/>
        <v>#H88#</v>
      </c>
    </row>
    <row r="144" spans="1:11" ht="16.5" thickBot="1" x14ac:dyDescent="0.3">
      <c r="A144" s="27">
        <v>137</v>
      </c>
      <c r="B144" s="30">
        <v>1</v>
      </c>
      <c r="C144" s="29">
        <v>0</v>
      </c>
      <c r="D144" s="29">
        <v>0</v>
      </c>
      <c r="E144" s="29">
        <v>0</v>
      </c>
      <c r="F144" s="29">
        <v>1</v>
      </c>
      <c r="G144" s="29">
        <v>0</v>
      </c>
      <c r="H144" s="29">
        <v>0</v>
      </c>
      <c r="I144" s="28">
        <v>1</v>
      </c>
      <c r="J144" s="27" t="str">
        <f t="shared" si="8"/>
        <v>0x89</v>
      </c>
      <c r="K144" s="22" t="str">
        <f t="shared" si="9"/>
        <v>#H89#</v>
      </c>
    </row>
    <row r="145" spans="1:11" ht="16.5" thickBot="1" x14ac:dyDescent="0.3">
      <c r="A145" s="27">
        <v>138</v>
      </c>
      <c r="B145" s="30">
        <v>1</v>
      </c>
      <c r="C145" s="29">
        <v>0</v>
      </c>
      <c r="D145" s="29">
        <v>0</v>
      </c>
      <c r="E145" s="29">
        <v>0</v>
      </c>
      <c r="F145" s="29">
        <v>1</v>
      </c>
      <c r="G145" s="29">
        <v>0</v>
      </c>
      <c r="H145" s="29">
        <v>1</v>
      </c>
      <c r="I145" s="28">
        <v>0</v>
      </c>
      <c r="J145" s="27" t="str">
        <f t="shared" si="8"/>
        <v>0x8A</v>
      </c>
      <c r="K145" s="22" t="str">
        <f t="shared" si="9"/>
        <v>#H8A#</v>
      </c>
    </row>
    <row r="146" spans="1:11" ht="16.5" thickBot="1" x14ac:dyDescent="0.3">
      <c r="A146" s="27">
        <v>139</v>
      </c>
      <c r="B146" s="30">
        <v>1</v>
      </c>
      <c r="C146" s="29">
        <v>0</v>
      </c>
      <c r="D146" s="29">
        <v>0</v>
      </c>
      <c r="E146" s="29">
        <v>0</v>
      </c>
      <c r="F146" s="29">
        <v>1</v>
      </c>
      <c r="G146" s="29">
        <v>0</v>
      </c>
      <c r="H146" s="29">
        <v>1</v>
      </c>
      <c r="I146" s="28">
        <v>1</v>
      </c>
      <c r="J146" s="27" t="str">
        <f t="shared" si="8"/>
        <v>0x8B</v>
      </c>
      <c r="K146" s="22" t="str">
        <f t="shared" si="9"/>
        <v>#H8B#</v>
      </c>
    </row>
    <row r="147" spans="1:11" ht="16.5" thickBot="1" x14ac:dyDescent="0.3">
      <c r="A147" s="27">
        <v>140</v>
      </c>
      <c r="B147" s="30">
        <v>1</v>
      </c>
      <c r="C147" s="29">
        <v>0</v>
      </c>
      <c r="D147" s="29">
        <v>0</v>
      </c>
      <c r="E147" s="29">
        <v>0</v>
      </c>
      <c r="F147" s="29">
        <v>1</v>
      </c>
      <c r="G147" s="29">
        <v>1</v>
      </c>
      <c r="H147" s="29">
        <v>0</v>
      </c>
      <c r="I147" s="28">
        <v>0</v>
      </c>
      <c r="J147" s="27" t="str">
        <f t="shared" si="8"/>
        <v>0x8C</v>
      </c>
      <c r="K147" s="22" t="str">
        <f t="shared" si="9"/>
        <v>#H8C#</v>
      </c>
    </row>
    <row r="148" spans="1:11" ht="16.5" thickBot="1" x14ac:dyDescent="0.3">
      <c r="A148" s="27">
        <v>141</v>
      </c>
      <c r="B148" s="30">
        <v>1</v>
      </c>
      <c r="C148" s="29">
        <v>0</v>
      </c>
      <c r="D148" s="29">
        <v>0</v>
      </c>
      <c r="E148" s="29">
        <v>0</v>
      </c>
      <c r="F148" s="29">
        <v>1</v>
      </c>
      <c r="G148" s="29">
        <v>1</v>
      </c>
      <c r="H148" s="29">
        <v>0</v>
      </c>
      <c r="I148" s="28">
        <v>1</v>
      </c>
      <c r="J148" s="27" t="str">
        <f t="shared" si="8"/>
        <v>0x8D</v>
      </c>
      <c r="K148" s="22" t="str">
        <f t="shared" si="9"/>
        <v>#H8D#</v>
      </c>
    </row>
    <row r="149" spans="1:11" ht="16.5" thickBot="1" x14ac:dyDescent="0.3">
      <c r="A149" s="27">
        <v>142</v>
      </c>
      <c r="B149" s="30">
        <v>1</v>
      </c>
      <c r="C149" s="29">
        <v>0</v>
      </c>
      <c r="D149" s="29">
        <v>0</v>
      </c>
      <c r="E149" s="29">
        <v>0</v>
      </c>
      <c r="F149" s="29">
        <v>1</v>
      </c>
      <c r="G149" s="29">
        <v>1</v>
      </c>
      <c r="H149" s="29">
        <v>1</v>
      </c>
      <c r="I149" s="28">
        <v>0</v>
      </c>
      <c r="J149" s="27" t="str">
        <f t="shared" si="8"/>
        <v>0x8E</v>
      </c>
      <c r="K149" s="22" t="str">
        <f t="shared" si="9"/>
        <v>#H8E#</v>
      </c>
    </row>
    <row r="150" spans="1:11" ht="16.5" thickBot="1" x14ac:dyDescent="0.3">
      <c r="A150" s="27">
        <v>143</v>
      </c>
      <c r="B150" s="30">
        <v>1</v>
      </c>
      <c r="C150" s="29">
        <v>0</v>
      </c>
      <c r="D150" s="29">
        <v>0</v>
      </c>
      <c r="E150" s="29">
        <v>0</v>
      </c>
      <c r="F150" s="29">
        <v>1</v>
      </c>
      <c r="G150" s="29">
        <v>1</v>
      </c>
      <c r="H150" s="29">
        <v>1</v>
      </c>
      <c r="I150" s="28">
        <v>1</v>
      </c>
      <c r="J150" s="27" t="str">
        <f t="shared" si="8"/>
        <v>0x8F</v>
      </c>
      <c r="K150" s="22" t="str">
        <f t="shared" si="9"/>
        <v>#H8F#</v>
      </c>
    </row>
    <row r="151" spans="1:11" ht="16.5" thickBot="1" x14ac:dyDescent="0.3">
      <c r="A151" s="27">
        <v>144</v>
      </c>
      <c r="B151" s="30">
        <v>1</v>
      </c>
      <c r="C151" s="29">
        <v>0</v>
      </c>
      <c r="D151" s="29">
        <v>0</v>
      </c>
      <c r="E151" s="29">
        <v>1</v>
      </c>
      <c r="F151" s="29">
        <v>0</v>
      </c>
      <c r="G151" s="29">
        <v>0</v>
      </c>
      <c r="H151" s="29">
        <v>0</v>
      </c>
      <c r="I151" s="28">
        <v>0</v>
      </c>
      <c r="J151" s="27" t="str">
        <f t="shared" si="8"/>
        <v>0x90</v>
      </c>
      <c r="K151" s="22" t="str">
        <f t="shared" si="9"/>
        <v>#H90#</v>
      </c>
    </row>
    <row r="152" spans="1:11" ht="16.5" thickBot="1" x14ac:dyDescent="0.3">
      <c r="A152" s="27">
        <v>145</v>
      </c>
      <c r="B152" s="30">
        <v>1</v>
      </c>
      <c r="C152" s="29">
        <v>0</v>
      </c>
      <c r="D152" s="29">
        <v>0</v>
      </c>
      <c r="E152" s="29">
        <v>1</v>
      </c>
      <c r="F152" s="29">
        <v>0</v>
      </c>
      <c r="G152" s="29">
        <v>0</v>
      </c>
      <c r="H152" s="29">
        <v>0</v>
      </c>
      <c r="I152" s="28">
        <v>1</v>
      </c>
      <c r="J152" s="27" t="str">
        <f t="shared" si="8"/>
        <v>0x91</v>
      </c>
      <c r="K152" s="22" t="str">
        <f t="shared" si="9"/>
        <v>#H91#</v>
      </c>
    </row>
    <row r="153" spans="1:11" ht="16.5" thickBot="1" x14ac:dyDescent="0.3">
      <c r="A153" s="27">
        <v>146</v>
      </c>
      <c r="B153" s="30">
        <v>1</v>
      </c>
      <c r="C153" s="29">
        <v>0</v>
      </c>
      <c r="D153" s="29">
        <v>0</v>
      </c>
      <c r="E153" s="29">
        <v>1</v>
      </c>
      <c r="F153" s="29">
        <v>0</v>
      </c>
      <c r="G153" s="29">
        <v>0</v>
      </c>
      <c r="H153" s="29">
        <v>1</v>
      </c>
      <c r="I153" s="28">
        <v>0</v>
      </c>
      <c r="J153" s="27" t="str">
        <f t="shared" si="8"/>
        <v>0x92</v>
      </c>
      <c r="K153" s="22" t="str">
        <f t="shared" si="9"/>
        <v>#H92#</v>
      </c>
    </row>
    <row r="154" spans="1:11" ht="16.5" thickBot="1" x14ac:dyDescent="0.3">
      <c r="A154" s="27">
        <v>147</v>
      </c>
      <c r="B154" s="30">
        <v>1</v>
      </c>
      <c r="C154" s="29">
        <v>0</v>
      </c>
      <c r="D154" s="29">
        <v>0</v>
      </c>
      <c r="E154" s="29">
        <v>1</v>
      </c>
      <c r="F154" s="29">
        <v>0</v>
      </c>
      <c r="G154" s="29">
        <v>0</v>
      </c>
      <c r="H154" s="29">
        <v>1</v>
      </c>
      <c r="I154" s="28">
        <v>1</v>
      </c>
      <c r="J154" s="27" t="str">
        <f t="shared" si="8"/>
        <v>0x93</v>
      </c>
      <c r="K154" s="22" t="str">
        <f t="shared" si="9"/>
        <v>#H93#</v>
      </c>
    </row>
    <row r="155" spans="1:11" ht="16.5" thickBot="1" x14ac:dyDescent="0.3">
      <c r="A155" s="27">
        <v>148</v>
      </c>
      <c r="B155" s="30">
        <v>1</v>
      </c>
      <c r="C155" s="29">
        <v>0</v>
      </c>
      <c r="D155" s="29">
        <v>0</v>
      </c>
      <c r="E155" s="29">
        <v>1</v>
      </c>
      <c r="F155" s="29">
        <v>0</v>
      </c>
      <c r="G155" s="29">
        <v>1</v>
      </c>
      <c r="H155" s="29">
        <v>0</v>
      </c>
      <c r="I155" s="28">
        <v>0</v>
      </c>
      <c r="J155" s="27" t="str">
        <f t="shared" si="8"/>
        <v>0x94</v>
      </c>
      <c r="K155" s="22" t="str">
        <f t="shared" si="9"/>
        <v>#H94#</v>
      </c>
    </row>
    <row r="156" spans="1:11" ht="16.5" thickBot="1" x14ac:dyDescent="0.3">
      <c r="A156" s="27">
        <v>149</v>
      </c>
      <c r="B156" s="30">
        <v>1</v>
      </c>
      <c r="C156" s="29">
        <v>0</v>
      </c>
      <c r="D156" s="29">
        <v>0</v>
      </c>
      <c r="E156" s="29">
        <v>1</v>
      </c>
      <c r="F156" s="29">
        <v>0</v>
      </c>
      <c r="G156" s="29">
        <v>1</v>
      </c>
      <c r="H156" s="29">
        <v>0</v>
      </c>
      <c r="I156" s="28">
        <v>1</v>
      </c>
      <c r="J156" s="27" t="str">
        <f t="shared" si="8"/>
        <v>0x95</v>
      </c>
      <c r="K156" s="22" t="str">
        <f t="shared" si="9"/>
        <v>#H95#</v>
      </c>
    </row>
    <row r="157" spans="1:11" ht="16.5" thickBot="1" x14ac:dyDescent="0.3">
      <c r="A157" s="27">
        <v>150</v>
      </c>
      <c r="B157" s="30">
        <v>1</v>
      </c>
      <c r="C157" s="29">
        <v>0</v>
      </c>
      <c r="D157" s="29">
        <v>0</v>
      </c>
      <c r="E157" s="29">
        <v>1</v>
      </c>
      <c r="F157" s="29">
        <v>0</v>
      </c>
      <c r="G157" s="29">
        <v>1</v>
      </c>
      <c r="H157" s="29">
        <v>1</v>
      </c>
      <c r="I157" s="28">
        <v>0</v>
      </c>
      <c r="J157" s="27" t="str">
        <f t="shared" si="8"/>
        <v>0x96</v>
      </c>
      <c r="K157" s="22" t="str">
        <f t="shared" si="9"/>
        <v>#H96#</v>
      </c>
    </row>
    <row r="158" spans="1:11" ht="16.5" thickBot="1" x14ac:dyDescent="0.3">
      <c r="A158" s="27">
        <v>151</v>
      </c>
      <c r="B158" s="30">
        <v>1</v>
      </c>
      <c r="C158" s="29">
        <v>0</v>
      </c>
      <c r="D158" s="29">
        <v>0</v>
      </c>
      <c r="E158" s="29">
        <v>1</v>
      </c>
      <c r="F158" s="29">
        <v>0</v>
      </c>
      <c r="G158" s="29">
        <v>1</v>
      </c>
      <c r="H158" s="29">
        <v>1</v>
      </c>
      <c r="I158" s="28">
        <v>1</v>
      </c>
      <c r="J158" s="27" t="str">
        <f t="shared" si="8"/>
        <v>0x97</v>
      </c>
      <c r="K158" s="22" t="str">
        <f t="shared" si="9"/>
        <v>#H97#</v>
      </c>
    </row>
    <row r="159" spans="1:11" ht="16.5" thickBot="1" x14ac:dyDescent="0.3">
      <c r="A159" s="27">
        <v>152</v>
      </c>
      <c r="B159" s="30">
        <v>1</v>
      </c>
      <c r="C159" s="29">
        <v>0</v>
      </c>
      <c r="D159" s="29">
        <v>0</v>
      </c>
      <c r="E159" s="29">
        <v>1</v>
      </c>
      <c r="F159" s="29">
        <v>1</v>
      </c>
      <c r="G159" s="29">
        <v>0</v>
      </c>
      <c r="H159" s="29">
        <v>0</v>
      </c>
      <c r="I159" s="28">
        <v>0</v>
      </c>
      <c r="J159" s="27" t="str">
        <f t="shared" si="8"/>
        <v>0x98</v>
      </c>
      <c r="K159" s="22" t="str">
        <f t="shared" si="9"/>
        <v>#H98#</v>
      </c>
    </row>
    <row r="160" spans="1:11" ht="16.5" thickBot="1" x14ac:dyDescent="0.3">
      <c r="A160" s="27">
        <v>153</v>
      </c>
      <c r="B160" s="30">
        <v>1</v>
      </c>
      <c r="C160" s="29">
        <v>0</v>
      </c>
      <c r="D160" s="29">
        <v>0</v>
      </c>
      <c r="E160" s="29">
        <v>1</v>
      </c>
      <c r="F160" s="29">
        <v>1</v>
      </c>
      <c r="G160" s="29">
        <v>0</v>
      </c>
      <c r="H160" s="29">
        <v>0</v>
      </c>
      <c r="I160" s="28">
        <v>1</v>
      </c>
      <c r="J160" s="27" t="str">
        <f t="shared" si="8"/>
        <v>0x99</v>
      </c>
      <c r="K160" s="22" t="str">
        <f t="shared" si="9"/>
        <v>#H99#</v>
      </c>
    </row>
    <row r="161" spans="1:11" ht="16.5" thickBot="1" x14ac:dyDescent="0.3">
      <c r="A161" s="27">
        <v>154</v>
      </c>
      <c r="B161" s="30">
        <v>1</v>
      </c>
      <c r="C161" s="29">
        <v>0</v>
      </c>
      <c r="D161" s="29">
        <v>0</v>
      </c>
      <c r="E161" s="29">
        <v>1</v>
      </c>
      <c r="F161" s="29">
        <v>1</v>
      </c>
      <c r="G161" s="29">
        <v>0</v>
      </c>
      <c r="H161" s="29">
        <v>1</v>
      </c>
      <c r="I161" s="28">
        <v>0</v>
      </c>
      <c r="J161" s="27" t="str">
        <f t="shared" si="8"/>
        <v>0x9A</v>
      </c>
      <c r="K161" s="22" t="str">
        <f t="shared" si="9"/>
        <v>#H9A#</v>
      </c>
    </row>
    <row r="162" spans="1:11" ht="16.5" thickBot="1" x14ac:dyDescent="0.3">
      <c r="A162" s="27">
        <v>155</v>
      </c>
      <c r="B162" s="30">
        <v>1</v>
      </c>
      <c r="C162" s="29">
        <v>0</v>
      </c>
      <c r="D162" s="29">
        <v>0</v>
      </c>
      <c r="E162" s="29">
        <v>1</v>
      </c>
      <c r="F162" s="29">
        <v>1</v>
      </c>
      <c r="G162" s="29">
        <v>0</v>
      </c>
      <c r="H162" s="29">
        <v>1</v>
      </c>
      <c r="I162" s="28">
        <v>1</v>
      </c>
      <c r="J162" s="27" t="str">
        <f t="shared" si="8"/>
        <v>0x9B</v>
      </c>
      <c r="K162" s="22" t="str">
        <f t="shared" si="9"/>
        <v>#H9B#</v>
      </c>
    </row>
    <row r="163" spans="1:11" ht="16.5" thickBot="1" x14ac:dyDescent="0.3">
      <c r="A163" s="27">
        <v>156</v>
      </c>
      <c r="B163" s="30">
        <v>1</v>
      </c>
      <c r="C163" s="29">
        <v>0</v>
      </c>
      <c r="D163" s="29">
        <v>0</v>
      </c>
      <c r="E163" s="29">
        <v>1</v>
      </c>
      <c r="F163" s="29">
        <v>1</v>
      </c>
      <c r="G163" s="29">
        <v>1</v>
      </c>
      <c r="H163" s="29">
        <v>0</v>
      </c>
      <c r="I163" s="28">
        <v>0</v>
      </c>
      <c r="J163" s="27" t="str">
        <f t="shared" si="8"/>
        <v>0x9C</v>
      </c>
      <c r="K163" s="22" t="str">
        <f t="shared" si="9"/>
        <v>#H9C#</v>
      </c>
    </row>
    <row r="164" spans="1:11" ht="16.5" thickBot="1" x14ac:dyDescent="0.3">
      <c r="A164" s="27">
        <v>157</v>
      </c>
      <c r="B164" s="30">
        <v>1</v>
      </c>
      <c r="C164" s="29">
        <v>0</v>
      </c>
      <c r="D164" s="29">
        <v>0</v>
      </c>
      <c r="E164" s="29">
        <v>1</v>
      </c>
      <c r="F164" s="29">
        <v>1</v>
      </c>
      <c r="G164" s="29">
        <v>1</v>
      </c>
      <c r="H164" s="29">
        <v>0</v>
      </c>
      <c r="I164" s="28">
        <v>1</v>
      </c>
      <c r="J164" s="27" t="str">
        <f t="shared" si="8"/>
        <v>0x9D</v>
      </c>
      <c r="K164" s="22" t="str">
        <f t="shared" si="9"/>
        <v>#H9D#</v>
      </c>
    </row>
    <row r="165" spans="1:11" ht="16.5" thickBot="1" x14ac:dyDescent="0.3">
      <c r="A165" s="27">
        <v>158</v>
      </c>
      <c r="B165" s="30">
        <v>1</v>
      </c>
      <c r="C165" s="29">
        <v>0</v>
      </c>
      <c r="D165" s="29">
        <v>0</v>
      </c>
      <c r="E165" s="29">
        <v>1</v>
      </c>
      <c r="F165" s="29">
        <v>1</v>
      </c>
      <c r="G165" s="29">
        <v>1</v>
      </c>
      <c r="H165" s="29">
        <v>1</v>
      </c>
      <c r="I165" s="28">
        <v>0</v>
      </c>
      <c r="J165" s="27" t="str">
        <f t="shared" si="8"/>
        <v>0x9E</v>
      </c>
      <c r="K165" s="22" t="str">
        <f t="shared" si="9"/>
        <v>#H9E#</v>
      </c>
    </row>
    <row r="166" spans="1:11" ht="16.5" thickBot="1" x14ac:dyDescent="0.3">
      <c r="A166" s="27">
        <v>159</v>
      </c>
      <c r="B166" s="30">
        <v>1</v>
      </c>
      <c r="C166" s="29">
        <v>0</v>
      </c>
      <c r="D166" s="29">
        <v>0</v>
      </c>
      <c r="E166" s="29">
        <v>1</v>
      </c>
      <c r="F166" s="29">
        <v>1</v>
      </c>
      <c r="G166" s="29">
        <v>1</v>
      </c>
      <c r="H166" s="29">
        <v>1</v>
      </c>
      <c r="I166" s="28">
        <v>1</v>
      </c>
      <c r="J166" s="27" t="str">
        <f t="shared" si="8"/>
        <v>0x9F</v>
      </c>
      <c r="K166" s="22" t="str">
        <f t="shared" si="9"/>
        <v>#H9F#</v>
      </c>
    </row>
    <row r="167" spans="1:11" ht="16.5" thickBot="1" x14ac:dyDescent="0.3">
      <c r="A167" s="27">
        <v>160</v>
      </c>
      <c r="B167" s="30">
        <v>1</v>
      </c>
      <c r="C167" s="29">
        <v>0</v>
      </c>
      <c r="D167" s="29">
        <v>1</v>
      </c>
      <c r="E167" s="29">
        <v>0</v>
      </c>
      <c r="F167" s="29">
        <v>0</v>
      </c>
      <c r="G167" s="29">
        <v>0</v>
      </c>
      <c r="H167" s="29">
        <v>0</v>
      </c>
      <c r="I167" s="28">
        <v>0</v>
      </c>
      <c r="J167" s="27" t="str">
        <f t="shared" si="8"/>
        <v>0xA0</v>
      </c>
      <c r="K167" s="22" t="str">
        <f t="shared" si="9"/>
        <v>#HA0#</v>
      </c>
    </row>
    <row r="168" spans="1:11" ht="16.5" thickBot="1" x14ac:dyDescent="0.3">
      <c r="A168" s="27">
        <v>161</v>
      </c>
      <c r="B168" s="30">
        <v>1</v>
      </c>
      <c r="C168" s="29">
        <v>0</v>
      </c>
      <c r="D168" s="29">
        <v>1</v>
      </c>
      <c r="E168" s="29">
        <v>0</v>
      </c>
      <c r="F168" s="29">
        <v>0</v>
      </c>
      <c r="G168" s="29">
        <v>0</v>
      </c>
      <c r="H168" s="29">
        <v>0</v>
      </c>
      <c r="I168" s="28">
        <v>1</v>
      </c>
      <c r="J168" s="27" t="str">
        <f t="shared" si="8"/>
        <v>0xA1</v>
      </c>
      <c r="K168" s="22" t="str">
        <f t="shared" si="9"/>
        <v>#HA1#</v>
      </c>
    </row>
    <row r="169" spans="1:11" ht="16.5" thickBot="1" x14ac:dyDescent="0.3">
      <c r="A169" s="27">
        <v>162</v>
      </c>
      <c r="B169" s="30">
        <v>1</v>
      </c>
      <c r="C169" s="29">
        <v>0</v>
      </c>
      <c r="D169" s="29">
        <v>1</v>
      </c>
      <c r="E169" s="29">
        <v>0</v>
      </c>
      <c r="F169" s="29">
        <v>0</v>
      </c>
      <c r="G169" s="29">
        <v>0</v>
      </c>
      <c r="H169" s="29">
        <v>1</v>
      </c>
      <c r="I169" s="28">
        <v>0</v>
      </c>
      <c r="J169" s="27" t="str">
        <f t="shared" si="8"/>
        <v>0xA2</v>
      </c>
      <c r="K169" s="22" t="str">
        <f t="shared" si="9"/>
        <v>#HA2#</v>
      </c>
    </row>
    <row r="170" spans="1:11" ht="16.5" thickBot="1" x14ac:dyDescent="0.3">
      <c r="A170" s="27">
        <v>163</v>
      </c>
      <c r="B170" s="30">
        <v>1</v>
      </c>
      <c r="C170" s="29">
        <v>0</v>
      </c>
      <c r="D170" s="29">
        <v>1</v>
      </c>
      <c r="E170" s="29">
        <v>0</v>
      </c>
      <c r="F170" s="29">
        <v>0</v>
      </c>
      <c r="G170" s="29">
        <v>0</v>
      </c>
      <c r="H170" s="29">
        <v>1</v>
      </c>
      <c r="I170" s="28">
        <v>1</v>
      </c>
      <c r="J170" s="27" t="str">
        <f t="shared" si="8"/>
        <v>0xA3</v>
      </c>
      <c r="K170" s="22" t="str">
        <f t="shared" si="9"/>
        <v>#HA3#</v>
      </c>
    </row>
    <row r="171" spans="1:11" ht="16.5" thickBot="1" x14ac:dyDescent="0.3">
      <c r="A171" s="27">
        <v>164</v>
      </c>
      <c r="B171" s="30">
        <v>1</v>
      </c>
      <c r="C171" s="29">
        <v>0</v>
      </c>
      <c r="D171" s="29">
        <v>1</v>
      </c>
      <c r="E171" s="29">
        <v>0</v>
      </c>
      <c r="F171" s="29">
        <v>0</v>
      </c>
      <c r="G171" s="29">
        <v>1</v>
      </c>
      <c r="H171" s="29">
        <v>0</v>
      </c>
      <c r="I171" s="28">
        <v>0</v>
      </c>
      <c r="J171" s="27" t="str">
        <f t="shared" si="8"/>
        <v>0xA4</v>
      </c>
      <c r="K171" s="22" t="str">
        <f t="shared" si="9"/>
        <v>#HA4#</v>
      </c>
    </row>
    <row r="172" spans="1:11" ht="16.5" thickBot="1" x14ac:dyDescent="0.3">
      <c r="A172" s="27">
        <v>165</v>
      </c>
      <c r="B172" s="30">
        <v>1</v>
      </c>
      <c r="C172" s="29">
        <v>0</v>
      </c>
      <c r="D172" s="29">
        <v>1</v>
      </c>
      <c r="E172" s="29">
        <v>0</v>
      </c>
      <c r="F172" s="29">
        <v>0</v>
      </c>
      <c r="G172" s="29">
        <v>1</v>
      </c>
      <c r="H172" s="29">
        <v>0</v>
      </c>
      <c r="I172" s="28">
        <v>1</v>
      </c>
      <c r="J172" s="27" t="str">
        <f t="shared" si="8"/>
        <v>0xA5</v>
      </c>
      <c r="K172" s="22" t="str">
        <f t="shared" si="9"/>
        <v>#HA5#</v>
      </c>
    </row>
    <row r="173" spans="1:11" ht="16.5" thickBot="1" x14ac:dyDescent="0.3">
      <c r="A173" s="27">
        <v>166</v>
      </c>
      <c r="B173" s="30">
        <v>1</v>
      </c>
      <c r="C173" s="29">
        <v>0</v>
      </c>
      <c r="D173" s="29">
        <v>1</v>
      </c>
      <c r="E173" s="29">
        <v>0</v>
      </c>
      <c r="F173" s="29">
        <v>0</v>
      </c>
      <c r="G173" s="29">
        <v>1</v>
      </c>
      <c r="H173" s="29">
        <v>1</v>
      </c>
      <c r="I173" s="28">
        <v>0</v>
      </c>
      <c r="J173" s="27" t="str">
        <f t="shared" si="8"/>
        <v>0xA6</v>
      </c>
      <c r="K173" s="22" t="str">
        <f t="shared" si="9"/>
        <v>#HA6#</v>
      </c>
    </row>
    <row r="174" spans="1:11" ht="16.5" thickBot="1" x14ac:dyDescent="0.3">
      <c r="A174" s="27">
        <v>167</v>
      </c>
      <c r="B174" s="30">
        <v>1</v>
      </c>
      <c r="C174" s="29">
        <v>0</v>
      </c>
      <c r="D174" s="29">
        <v>1</v>
      </c>
      <c r="E174" s="29">
        <v>0</v>
      </c>
      <c r="F174" s="29">
        <v>0</v>
      </c>
      <c r="G174" s="29">
        <v>1</v>
      </c>
      <c r="H174" s="29">
        <v>1</v>
      </c>
      <c r="I174" s="28">
        <v>1</v>
      </c>
      <c r="J174" s="27" t="str">
        <f t="shared" si="8"/>
        <v>0xA7</v>
      </c>
      <c r="K174" s="22" t="str">
        <f t="shared" si="9"/>
        <v>#HA7#</v>
      </c>
    </row>
    <row r="175" spans="1:11" ht="16.5" thickBot="1" x14ac:dyDescent="0.3">
      <c r="A175" s="27">
        <v>168</v>
      </c>
      <c r="B175" s="30">
        <v>1</v>
      </c>
      <c r="C175" s="29">
        <v>0</v>
      </c>
      <c r="D175" s="29">
        <v>1</v>
      </c>
      <c r="E175" s="29">
        <v>0</v>
      </c>
      <c r="F175" s="29">
        <v>1</v>
      </c>
      <c r="G175" s="29">
        <v>0</v>
      </c>
      <c r="H175" s="29">
        <v>0</v>
      </c>
      <c r="I175" s="28">
        <v>0</v>
      </c>
      <c r="J175" s="27" t="str">
        <f t="shared" si="8"/>
        <v>0xA8</v>
      </c>
      <c r="K175" s="22" t="str">
        <f t="shared" si="9"/>
        <v>#HA8#</v>
      </c>
    </row>
    <row r="176" spans="1:11" ht="16.5" thickBot="1" x14ac:dyDescent="0.3">
      <c r="A176" s="27">
        <v>169</v>
      </c>
      <c r="B176" s="30">
        <v>1</v>
      </c>
      <c r="C176" s="29">
        <v>0</v>
      </c>
      <c r="D176" s="29">
        <v>1</v>
      </c>
      <c r="E176" s="29">
        <v>0</v>
      </c>
      <c r="F176" s="29">
        <v>1</v>
      </c>
      <c r="G176" s="29">
        <v>0</v>
      </c>
      <c r="H176" s="29">
        <v>0</v>
      </c>
      <c r="I176" s="28">
        <v>1</v>
      </c>
      <c r="J176" s="27" t="str">
        <f t="shared" si="8"/>
        <v>0xA9</v>
      </c>
      <c r="K176" s="22" t="str">
        <f t="shared" si="9"/>
        <v>#HA9#</v>
      </c>
    </row>
    <row r="177" spans="1:11" ht="16.5" thickBot="1" x14ac:dyDescent="0.3">
      <c r="A177" s="27">
        <v>170</v>
      </c>
      <c r="B177" s="30">
        <v>1</v>
      </c>
      <c r="C177" s="29">
        <v>0</v>
      </c>
      <c r="D177" s="29">
        <v>1</v>
      </c>
      <c r="E177" s="29">
        <v>0</v>
      </c>
      <c r="F177" s="29">
        <v>1</v>
      </c>
      <c r="G177" s="29">
        <v>0</v>
      </c>
      <c r="H177" s="29">
        <v>1</v>
      </c>
      <c r="I177" s="28">
        <v>0</v>
      </c>
      <c r="J177" s="27" t="str">
        <f t="shared" si="8"/>
        <v>0xAA</v>
      </c>
      <c r="K177" s="22" t="str">
        <f t="shared" si="9"/>
        <v>#HAA#</v>
      </c>
    </row>
    <row r="178" spans="1:11" ht="16.5" thickBot="1" x14ac:dyDescent="0.3">
      <c r="A178" s="27">
        <v>171</v>
      </c>
      <c r="B178" s="30">
        <v>1</v>
      </c>
      <c r="C178" s="29">
        <v>0</v>
      </c>
      <c r="D178" s="29">
        <v>1</v>
      </c>
      <c r="E178" s="29">
        <v>0</v>
      </c>
      <c r="F178" s="29">
        <v>1</v>
      </c>
      <c r="G178" s="29">
        <v>0</v>
      </c>
      <c r="H178" s="29">
        <v>1</v>
      </c>
      <c r="I178" s="28">
        <v>1</v>
      </c>
      <c r="J178" s="27" t="str">
        <f t="shared" si="8"/>
        <v>0xAB</v>
      </c>
      <c r="K178" s="22" t="str">
        <f t="shared" si="9"/>
        <v>#HAB#</v>
      </c>
    </row>
    <row r="179" spans="1:11" ht="16.5" thickBot="1" x14ac:dyDescent="0.3">
      <c r="A179" s="27">
        <v>172</v>
      </c>
      <c r="B179" s="30">
        <v>1</v>
      </c>
      <c r="C179" s="29">
        <v>0</v>
      </c>
      <c r="D179" s="29">
        <v>1</v>
      </c>
      <c r="E179" s="29">
        <v>0</v>
      </c>
      <c r="F179" s="29">
        <v>1</v>
      </c>
      <c r="G179" s="29">
        <v>1</v>
      </c>
      <c r="H179" s="29">
        <v>0</v>
      </c>
      <c r="I179" s="28">
        <v>0</v>
      </c>
      <c r="J179" s="27" t="str">
        <f t="shared" si="8"/>
        <v>0xAC</v>
      </c>
      <c r="K179" s="22" t="str">
        <f t="shared" si="9"/>
        <v>#HAC#</v>
      </c>
    </row>
    <row r="180" spans="1:11" ht="16.5" thickBot="1" x14ac:dyDescent="0.3">
      <c r="A180" s="27">
        <v>173</v>
      </c>
      <c r="B180" s="30">
        <v>1</v>
      </c>
      <c r="C180" s="29">
        <v>0</v>
      </c>
      <c r="D180" s="29">
        <v>1</v>
      </c>
      <c r="E180" s="29">
        <v>0</v>
      </c>
      <c r="F180" s="29">
        <v>1</v>
      </c>
      <c r="G180" s="29">
        <v>1</v>
      </c>
      <c r="H180" s="29">
        <v>0</v>
      </c>
      <c r="I180" s="28">
        <v>1</v>
      </c>
      <c r="J180" s="27" t="str">
        <f t="shared" si="8"/>
        <v>0xAD</v>
      </c>
      <c r="K180" s="22" t="str">
        <f t="shared" si="9"/>
        <v>#HAD#</v>
      </c>
    </row>
    <row r="181" spans="1:11" ht="16.5" thickBot="1" x14ac:dyDescent="0.3">
      <c r="A181" s="27">
        <v>174</v>
      </c>
      <c r="B181" s="30">
        <v>1</v>
      </c>
      <c r="C181" s="29">
        <v>0</v>
      </c>
      <c r="D181" s="29">
        <v>1</v>
      </c>
      <c r="E181" s="29">
        <v>0</v>
      </c>
      <c r="F181" s="29">
        <v>1</v>
      </c>
      <c r="G181" s="29">
        <v>1</v>
      </c>
      <c r="H181" s="29">
        <v>1</v>
      </c>
      <c r="I181" s="28">
        <v>0</v>
      </c>
      <c r="J181" s="27" t="str">
        <f t="shared" si="8"/>
        <v>0xAE</v>
      </c>
      <c r="K181" s="22" t="str">
        <f t="shared" si="9"/>
        <v>#HAE#</v>
      </c>
    </row>
    <row r="182" spans="1:11" ht="16.5" thickBot="1" x14ac:dyDescent="0.3">
      <c r="A182" s="27">
        <v>175</v>
      </c>
      <c r="B182" s="30">
        <v>1</v>
      </c>
      <c r="C182" s="29">
        <v>0</v>
      </c>
      <c r="D182" s="29">
        <v>1</v>
      </c>
      <c r="E182" s="29">
        <v>1</v>
      </c>
      <c r="F182" s="29">
        <v>1</v>
      </c>
      <c r="G182" s="29">
        <v>1</v>
      </c>
      <c r="H182" s="29">
        <v>1</v>
      </c>
      <c r="I182" s="28">
        <v>1</v>
      </c>
      <c r="J182" s="27" t="str">
        <f t="shared" si="8"/>
        <v>0xAF</v>
      </c>
      <c r="K182" s="22" t="str">
        <f t="shared" si="9"/>
        <v>#HAF#</v>
      </c>
    </row>
    <row r="183" spans="1:11" ht="16.5" thickBot="1" x14ac:dyDescent="0.3">
      <c r="A183" s="27">
        <v>176</v>
      </c>
      <c r="B183" s="30">
        <v>1</v>
      </c>
      <c r="C183" s="29">
        <v>0</v>
      </c>
      <c r="D183" s="29">
        <v>1</v>
      </c>
      <c r="E183" s="29">
        <v>1</v>
      </c>
      <c r="F183" s="29">
        <v>0</v>
      </c>
      <c r="G183" s="29">
        <v>0</v>
      </c>
      <c r="H183" s="29">
        <v>0</v>
      </c>
      <c r="I183" s="28">
        <v>0</v>
      </c>
      <c r="J183" s="27" t="str">
        <f t="shared" si="8"/>
        <v>0xB0</v>
      </c>
      <c r="K183" s="22" t="str">
        <f t="shared" si="9"/>
        <v>#HB0#</v>
      </c>
    </row>
    <row r="184" spans="1:11" ht="16.5" thickBot="1" x14ac:dyDescent="0.3">
      <c r="A184" s="27">
        <v>177</v>
      </c>
      <c r="B184" s="30">
        <v>1</v>
      </c>
      <c r="C184" s="29">
        <v>0</v>
      </c>
      <c r="D184" s="29">
        <v>1</v>
      </c>
      <c r="E184" s="29">
        <v>1</v>
      </c>
      <c r="F184" s="29">
        <v>0</v>
      </c>
      <c r="G184" s="29">
        <v>0</v>
      </c>
      <c r="H184" s="29">
        <v>0</v>
      </c>
      <c r="I184" s="28">
        <v>1</v>
      </c>
      <c r="J184" s="27" t="str">
        <f t="shared" si="8"/>
        <v>0xB1</v>
      </c>
      <c r="K184" s="22" t="str">
        <f t="shared" si="9"/>
        <v>#HB1#</v>
      </c>
    </row>
    <row r="185" spans="1:11" ht="16.5" thickBot="1" x14ac:dyDescent="0.3">
      <c r="A185" s="27">
        <v>178</v>
      </c>
      <c r="B185" s="30">
        <v>1</v>
      </c>
      <c r="C185" s="29">
        <v>0</v>
      </c>
      <c r="D185" s="29">
        <v>1</v>
      </c>
      <c r="E185" s="29">
        <v>1</v>
      </c>
      <c r="F185" s="29">
        <v>0</v>
      </c>
      <c r="G185" s="29">
        <v>0</v>
      </c>
      <c r="H185" s="29">
        <v>1</v>
      </c>
      <c r="I185" s="28">
        <v>0</v>
      </c>
      <c r="J185" s="27" t="str">
        <f t="shared" si="8"/>
        <v>0xB2</v>
      </c>
      <c r="K185" s="22" t="str">
        <f t="shared" si="9"/>
        <v>#HB2#</v>
      </c>
    </row>
    <row r="186" spans="1:11" ht="16.5" thickBot="1" x14ac:dyDescent="0.3">
      <c r="A186" s="27">
        <v>179</v>
      </c>
      <c r="B186" s="30">
        <v>1</v>
      </c>
      <c r="C186" s="29">
        <v>0</v>
      </c>
      <c r="D186" s="29">
        <v>1</v>
      </c>
      <c r="E186" s="29">
        <v>1</v>
      </c>
      <c r="F186" s="29">
        <v>0</v>
      </c>
      <c r="G186" s="29">
        <v>0</v>
      </c>
      <c r="H186" s="29">
        <v>1</v>
      </c>
      <c r="I186" s="28">
        <v>1</v>
      </c>
      <c r="J186" s="27" t="str">
        <f t="shared" si="8"/>
        <v>0xB3</v>
      </c>
      <c r="K186" s="22" t="str">
        <f t="shared" si="9"/>
        <v>#HB3#</v>
      </c>
    </row>
    <row r="187" spans="1:11" ht="16.5" thickBot="1" x14ac:dyDescent="0.3">
      <c r="A187" s="27">
        <v>180</v>
      </c>
      <c r="B187" s="30">
        <v>1</v>
      </c>
      <c r="C187" s="29">
        <v>0</v>
      </c>
      <c r="D187" s="29">
        <v>1</v>
      </c>
      <c r="E187" s="29">
        <v>1</v>
      </c>
      <c r="F187" s="29">
        <v>0</v>
      </c>
      <c r="G187" s="29">
        <v>1</v>
      </c>
      <c r="H187" s="29">
        <v>0</v>
      </c>
      <c r="I187" s="28">
        <v>0</v>
      </c>
      <c r="J187" s="27" t="str">
        <f t="shared" si="8"/>
        <v>0xB4</v>
      </c>
      <c r="K187" s="22" t="str">
        <f t="shared" si="9"/>
        <v>#HB4#</v>
      </c>
    </row>
    <row r="188" spans="1:11" ht="16.5" thickBot="1" x14ac:dyDescent="0.3">
      <c r="A188" s="27">
        <v>181</v>
      </c>
      <c r="B188" s="30">
        <v>1</v>
      </c>
      <c r="C188" s="29">
        <v>0</v>
      </c>
      <c r="D188" s="29">
        <v>1</v>
      </c>
      <c r="E188" s="29">
        <v>1</v>
      </c>
      <c r="F188" s="29">
        <v>0</v>
      </c>
      <c r="G188" s="29">
        <v>1</v>
      </c>
      <c r="H188" s="29">
        <v>0</v>
      </c>
      <c r="I188" s="28">
        <v>1</v>
      </c>
      <c r="J188" s="27" t="str">
        <f t="shared" si="8"/>
        <v>0xB5</v>
      </c>
      <c r="K188" s="22" t="str">
        <f t="shared" si="9"/>
        <v>#HB5#</v>
      </c>
    </row>
    <row r="189" spans="1:11" ht="16.5" thickBot="1" x14ac:dyDescent="0.3">
      <c r="A189" s="27">
        <v>182</v>
      </c>
      <c r="B189" s="30">
        <v>1</v>
      </c>
      <c r="C189" s="29">
        <v>0</v>
      </c>
      <c r="D189" s="29">
        <v>1</v>
      </c>
      <c r="E189" s="29">
        <v>1</v>
      </c>
      <c r="F189" s="29">
        <v>0</v>
      </c>
      <c r="G189" s="29">
        <v>1</v>
      </c>
      <c r="H189" s="29">
        <v>1</v>
      </c>
      <c r="I189" s="28">
        <v>0</v>
      </c>
      <c r="J189" s="27" t="str">
        <f t="shared" si="8"/>
        <v>0xB6</v>
      </c>
      <c r="K189" s="22" t="str">
        <f t="shared" si="9"/>
        <v>#HB6#</v>
      </c>
    </row>
    <row r="190" spans="1:11" ht="16.5" thickBot="1" x14ac:dyDescent="0.3">
      <c r="A190" s="27">
        <v>183</v>
      </c>
      <c r="B190" s="30">
        <v>1</v>
      </c>
      <c r="C190" s="29">
        <v>0</v>
      </c>
      <c r="D190" s="29">
        <v>1</v>
      </c>
      <c r="E190" s="29">
        <v>1</v>
      </c>
      <c r="F190" s="29">
        <v>0</v>
      </c>
      <c r="G190" s="29">
        <v>1</v>
      </c>
      <c r="H190" s="29">
        <v>1</v>
      </c>
      <c r="I190" s="28">
        <v>1</v>
      </c>
      <c r="J190" s="27" t="str">
        <f t="shared" si="8"/>
        <v>0xB7</v>
      </c>
      <c r="K190" s="22" t="str">
        <f t="shared" si="9"/>
        <v>#HB7#</v>
      </c>
    </row>
    <row r="191" spans="1:11" ht="16.5" thickBot="1" x14ac:dyDescent="0.3">
      <c r="A191" s="27">
        <v>184</v>
      </c>
      <c r="B191" s="30">
        <v>1</v>
      </c>
      <c r="C191" s="29">
        <v>0</v>
      </c>
      <c r="D191" s="29">
        <v>1</v>
      </c>
      <c r="E191" s="29">
        <v>1</v>
      </c>
      <c r="F191" s="29">
        <v>1</v>
      </c>
      <c r="G191" s="29">
        <v>0</v>
      </c>
      <c r="H191" s="29">
        <v>0</v>
      </c>
      <c r="I191" s="28">
        <v>0</v>
      </c>
      <c r="J191" s="27" t="str">
        <f t="shared" si="8"/>
        <v>0xB8</v>
      </c>
      <c r="K191" s="22" t="str">
        <f t="shared" si="9"/>
        <v>#HB8#</v>
      </c>
    </row>
    <row r="192" spans="1:11" ht="16.5" thickBot="1" x14ac:dyDescent="0.3">
      <c r="A192" s="27">
        <v>185</v>
      </c>
      <c r="B192" s="30">
        <v>1</v>
      </c>
      <c r="C192" s="29">
        <v>0</v>
      </c>
      <c r="D192" s="29">
        <v>1</v>
      </c>
      <c r="E192" s="29">
        <v>1</v>
      </c>
      <c r="F192" s="29">
        <v>1</v>
      </c>
      <c r="G192" s="29">
        <v>0</v>
      </c>
      <c r="H192" s="29">
        <v>0</v>
      </c>
      <c r="I192" s="28">
        <v>1</v>
      </c>
      <c r="J192" s="27" t="str">
        <f t="shared" si="8"/>
        <v>0xB9</v>
      </c>
      <c r="K192" s="22" t="str">
        <f t="shared" si="9"/>
        <v>#HB9#</v>
      </c>
    </row>
    <row r="193" spans="1:11" ht="16.5" thickBot="1" x14ac:dyDescent="0.3">
      <c r="A193" s="27">
        <v>186</v>
      </c>
      <c r="B193" s="30">
        <v>1</v>
      </c>
      <c r="C193" s="29">
        <v>0</v>
      </c>
      <c r="D193" s="29">
        <v>1</v>
      </c>
      <c r="E193" s="29">
        <v>1</v>
      </c>
      <c r="F193" s="29">
        <v>1</v>
      </c>
      <c r="G193" s="29">
        <v>0</v>
      </c>
      <c r="H193" s="29">
        <v>1</v>
      </c>
      <c r="I193" s="28">
        <v>0</v>
      </c>
      <c r="J193" s="27" t="str">
        <f t="shared" si="8"/>
        <v>0xBA</v>
      </c>
      <c r="K193" s="22" t="str">
        <f t="shared" si="9"/>
        <v>#HBA#</v>
      </c>
    </row>
    <row r="194" spans="1:11" ht="16.5" thickBot="1" x14ac:dyDescent="0.3">
      <c r="A194" s="27">
        <v>187</v>
      </c>
      <c r="B194" s="30">
        <v>1</v>
      </c>
      <c r="C194" s="29">
        <v>0</v>
      </c>
      <c r="D194" s="29">
        <v>1</v>
      </c>
      <c r="E194" s="29">
        <v>1</v>
      </c>
      <c r="F194" s="29">
        <v>1</v>
      </c>
      <c r="G194" s="29">
        <v>0</v>
      </c>
      <c r="H194" s="29">
        <v>1</v>
      </c>
      <c r="I194" s="28">
        <v>1</v>
      </c>
      <c r="J194" s="27" t="str">
        <f t="shared" si="8"/>
        <v>0xBB</v>
      </c>
      <c r="K194" s="22" t="str">
        <f t="shared" si="9"/>
        <v>#HBB#</v>
      </c>
    </row>
    <row r="195" spans="1:11" ht="16.5" thickBot="1" x14ac:dyDescent="0.3">
      <c r="A195" s="27">
        <v>188</v>
      </c>
      <c r="B195" s="30">
        <v>1</v>
      </c>
      <c r="C195" s="29">
        <v>0</v>
      </c>
      <c r="D195" s="29">
        <v>1</v>
      </c>
      <c r="E195" s="29">
        <v>1</v>
      </c>
      <c r="F195" s="29">
        <v>1</v>
      </c>
      <c r="G195" s="29">
        <v>1</v>
      </c>
      <c r="H195" s="29">
        <v>0</v>
      </c>
      <c r="I195" s="28">
        <v>0</v>
      </c>
      <c r="J195" s="27" t="str">
        <f t="shared" si="8"/>
        <v>0xBC</v>
      </c>
      <c r="K195" s="22" t="str">
        <f t="shared" si="9"/>
        <v>#HBC#</v>
      </c>
    </row>
    <row r="196" spans="1:11" ht="16.5" thickBot="1" x14ac:dyDescent="0.3">
      <c r="A196" s="27">
        <v>189</v>
      </c>
      <c r="B196" s="30">
        <v>1</v>
      </c>
      <c r="C196" s="29">
        <v>0</v>
      </c>
      <c r="D196" s="29">
        <v>1</v>
      </c>
      <c r="E196" s="29">
        <v>1</v>
      </c>
      <c r="F196" s="29">
        <v>1</v>
      </c>
      <c r="G196" s="29">
        <v>1</v>
      </c>
      <c r="H196" s="29">
        <v>0</v>
      </c>
      <c r="I196" s="28">
        <v>1</v>
      </c>
      <c r="J196" s="27" t="str">
        <f t="shared" si="8"/>
        <v>0xBD</v>
      </c>
      <c r="K196" s="22" t="str">
        <f t="shared" si="9"/>
        <v>#HBD#</v>
      </c>
    </row>
    <row r="197" spans="1:11" ht="16.5" thickBot="1" x14ac:dyDescent="0.3">
      <c r="A197" s="27">
        <v>190</v>
      </c>
      <c r="B197" s="30">
        <v>1</v>
      </c>
      <c r="C197" s="29">
        <v>0</v>
      </c>
      <c r="D197" s="29">
        <v>1</v>
      </c>
      <c r="E197" s="29">
        <v>1</v>
      </c>
      <c r="F197" s="29">
        <v>1</v>
      </c>
      <c r="G197" s="29">
        <v>1</v>
      </c>
      <c r="H197" s="29">
        <v>1</v>
      </c>
      <c r="I197" s="28">
        <v>0</v>
      </c>
      <c r="J197" s="27" t="str">
        <f t="shared" si="8"/>
        <v>0xBE</v>
      </c>
      <c r="K197" s="22" t="str">
        <f t="shared" si="9"/>
        <v>#HBE#</v>
      </c>
    </row>
    <row r="198" spans="1:11" ht="16.5" thickBot="1" x14ac:dyDescent="0.3">
      <c r="A198" s="27">
        <v>191</v>
      </c>
      <c r="B198" s="30">
        <v>1</v>
      </c>
      <c r="C198" s="29">
        <v>0</v>
      </c>
      <c r="D198" s="29">
        <v>1</v>
      </c>
      <c r="E198" s="29">
        <v>1</v>
      </c>
      <c r="F198" s="29">
        <v>1</v>
      </c>
      <c r="G198" s="29">
        <v>1</v>
      </c>
      <c r="H198" s="29">
        <v>1</v>
      </c>
      <c r="I198" s="28">
        <v>1</v>
      </c>
      <c r="J198" s="27" t="str">
        <f t="shared" si="8"/>
        <v>0xBF</v>
      </c>
      <c r="K198" s="22" t="str">
        <f t="shared" si="9"/>
        <v>#HBF#</v>
      </c>
    </row>
    <row r="199" spans="1:11" ht="16.5" thickBot="1" x14ac:dyDescent="0.3">
      <c r="A199" s="27">
        <v>192</v>
      </c>
      <c r="B199" s="30">
        <v>1</v>
      </c>
      <c r="C199" s="29">
        <v>1</v>
      </c>
      <c r="D199" s="29">
        <v>0</v>
      </c>
      <c r="E199" s="29">
        <v>0</v>
      </c>
      <c r="F199" s="29">
        <v>0</v>
      </c>
      <c r="G199" s="29">
        <v>0</v>
      </c>
      <c r="H199" s="29">
        <v>0</v>
      </c>
      <c r="I199" s="28">
        <v>0</v>
      </c>
      <c r="J199" s="27" t="str">
        <f t="shared" ref="J199:J262" si="10">"0x"&amp;LEFT("00", 2-LEN(DEC2HEX(A199)))&amp;DEC2HEX(A199)</f>
        <v>0xC0</v>
      </c>
      <c r="K199" s="22" t="str">
        <f t="shared" ref="K199:K262" si="11">"#H"&amp;LEFT("00", 2-LEN(DEC2HEX(A199)))&amp;DEC2HEX(A199) &amp;"#"</f>
        <v>#HC0#</v>
      </c>
    </row>
    <row r="200" spans="1:11" ht="16.5" thickBot="1" x14ac:dyDescent="0.3">
      <c r="A200" s="27">
        <v>193</v>
      </c>
      <c r="B200" s="30">
        <v>1</v>
      </c>
      <c r="C200" s="29">
        <v>1</v>
      </c>
      <c r="D200" s="29">
        <v>0</v>
      </c>
      <c r="E200" s="29">
        <v>0</v>
      </c>
      <c r="F200" s="29">
        <v>0</v>
      </c>
      <c r="G200" s="29">
        <v>0</v>
      </c>
      <c r="H200" s="29">
        <v>0</v>
      </c>
      <c r="I200" s="28">
        <v>1</v>
      </c>
      <c r="J200" s="27" t="str">
        <f t="shared" si="10"/>
        <v>0xC1</v>
      </c>
      <c r="K200" s="22" t="str">
        <f t="shared" si="11"/>
        <v>#HC1#</v>
      </c>
    </row>
    <row r="201" spans="1:11" ht="16.5" thickBot="1" x14ac:dyDescent="0.3">
      <c r="A201" s="27">
        <v>194</v>
      </c>
      <c r="B201" s="30">
        <v>1</v>
      </c>
      <c r="C201" s="29">
        <v>1</v>
      </c>
      <c r="D201" s="29">
        <v>0</v>
      </c>
      <c r="E201" s="29">
        <v>0</v>
      </c>
      <c r="F201" s="29">
        <v>0</v>
      </c>
      <c r="G201" s="29">
        <v>0</v>
      </c>
      <c r="H201" s="29">
        <v>1</v>
      </c>
      <c r="I201" s="28">
        <v>0</v>
      </c>
      <c r="J201" s="27" t="str">
        <f t="shared" si="10"/>
        <v>0xC2</v>
      </c>
      <c r="K201" s="22" t="str">
        <f t="shared" si="11"/>
        <v>#HC2#</v>
      </c>
    </row>
    <row r="202" spans="1:11" ht="16.5" thickBot="1" x14ac:dyDescent="0.3">
      <c r="A202" s="27">
        <v>195</v>
      </c>
      <c r="B202" s="30">
        <v>1</v>
      </c>
      <c r="C202" s="29">
        <v>1</v>
      </c>
      <c r="D202" s="29">
        <v>0</v>
      </c>
      <c r="E202" s="29">
        <v>0</v>
      </c>
      <c r="F202" s="29">
        <v>0</v>
      </c>
      <c r="G202" s="29">
        <v>0</v>
      </c>
      <c r="H202" s="29">
        <v>1</v>
      </c>
      <c r="I202" s="28">
        <v>1</v>
      </c>
      <c r="J202" s="27" t="str">
        <f t="shared" si="10"/>
        <v>0xC3</v>
      </c>
      <c r="K202" s="22" t="str">
        <f t="shared" si="11"/>
        <v>#HC3#</v>
      </c>
    </row>
    <row r="203" spans="1:11" ht="16.5" thickBot="1" x14ac:dyDescent="0.3">
      <c r="A203" s="27">
        <v>196</v>
      </c>
      <c r="B203" s="30">
        <v>1</v>
      </c>
      <c r="C203" s="29">
        <v>1</v>
      </c>
      <c r="D203" s="29">
        <v>0</v>
      </c>
      <c r="E203" s="29">
        <v>0</v>
      </c>
      <c r="F203" s="29">
        <v>0</v>
      </c>
      <c r="G203" s="29">
        <v>1</v>
      </c>
      <c r="H203" s="29">
        <v>0</v>
      </c>
      <c r="I203" s="28">
        <v>0</v>
      </c>
      <c r="J203" s="27" t="str">
        <f t="shared" si="10"/>
        <v>0xC4</v>
      </c>
      <c r="K203" s="22" t="str">
        <f t="shared" si="11"/>
        <v>#HC4#</v>
      </c>
    </row>
    <row r="204" spans="1:11" ht="16.5" thickBot="1" x14ac:dyDescent="0.3">
      <c r="A204" s="27">
        <v>197</v>
      </c>
      <c r="B204" s="30">
        <v>1</v>
      </c>
      <c r="C204" s="29">
        <v>1</v>
      </c>
      <c r="D204" s="29">
        <v>0</v>
      </c>
      <c r="E204" s="29">
        <v>0</v>
      </c>
      <c r="F204" s="29">
        <v>0</v>
      </c>
      <c r="G204" s="29">
        <v>1</v>
      </c>
      <c r="H204" s="29">
        <v>0</v>
      </c>
      <c r="I204" s="28">
        <v>1</v>
      </c>
      <c r="J204" s="27" t="str">
        <f t="shared" si="10"/>
        <v>0xC5</v>
      </c>
      <c r="K204" s="22" t="str">
        <f t="shared" si="11"/>
        <v>#HC5#</v>
      </c>
    </row>
    <row r="205" spans="1:11" ht="16.5" thickBot="1" x14ac:dyDescent="0.3">
      <c r="A205" s="27">
        <v>198</v>
      </c>
      <c r="B205" s="30">
        <v>1</v>
      </c>
      <c r="C205" s="29">
        <v>1</v>
      </c>
      <c r="D205" s="29">
        <v>0</v>
      </c>
      <c r="E205" s="29">
        <v>0</v>
      </c>
      <c r="F205" s="29">
        <v>0</v>
      </c>
      <c r="G205" s="29">
        <v>1</v>
      </c>
      <c r="H205" s="29">
        <v>1</v>
      </c>
      <c r="I205" s="28">
        <v>0</v>
      </c>
      <c r="J205" s="27" t="str">
        <f t="shared" si="10"/>
        <v>0xC6</v>
      </c>
      <c r="K205" s="22" t="str">
        <f t="shared" si="11"/>
        <v>#HC6#</v>
      </c>
    </row>
    <row r="206" spans="1:11" ht="16.5" thickBot="1" x14ac:dyDescent="0.3">
      <c r="A206" s="27">
        <v>199</v>
      </c>
      <c r="B206" s="30">
        <v>1</v>
      </c>
      <c r="C206" s="29">
        <v>1</v>
      </c>
      <c r="D206" s="29">
        <v>0</v>
      </c>
      <c r="E206" s="29">
        <v>0</v>
      </c>
      <c r="F206" s="29">
        <v>0</v>
      </c>
      <c r="G206" s="29">
        <v>1</v>
      </c>
      <c r="H206" s="29">
        <v>1</v>
      </c>
      <c r="I206" s="28">
        <v>1</v>
      </c>
      <c r="J206" s="27" t="str">
        <f t="shared" si="10"/>
        <v>0xC7</v>
      </c>
      <c r="K206" s="22" t="str">
        <f t="shared" si="11"/>
        <v>#HC7#</v>
      </c>
    </row>
    <row r="207" spans="1:11" ht="16.5" thickBot="1" x14ac:dyDescent="0.3">
      <c r="A207" s="27">
        <v>200</v>
      </c>
      <c r="B207" s="30">
        <v>1</v>
      </c>
      <c r="C207" s="29">
        <v>1</v>
      </c>
      <c r="D207" s="29">
        <v>0</v>
      </c>
      <c r="E207" s="29">
        <v>0</v>
      </c>
      <c r="F207" s="29">
        <v>1</v>
      </c>
      <c r="G207" s="29">
        <v>0</v>
      </c>
      <c r="H207" s="29">
        <v>0</v>
      </c>
      <c r="I207" s="28">
        <v>0</v>
      </c>
      <c r="J207" s="27" t="str">
        <f t="shared" si="10"/>
        <v>0xC8</v>
      </c>
      <c r="K207" s="22" t="str">
        <f t="shared" si="11"/>
        <v>#HC8#</v>
      </c>
    </row>
    <row r="208" spans="1:11" ht="16.5" thickBot="1" x14ac:dyDescent="0.3">
      <c r="A208" s="27">
        <v>201</v>
      </c>
      <c r="B208" s="30">
        <v>1</v>
      </c>
      <c r="C208" s="29">
        <v>1</v>
      </c>
      <c r="D208" s="29">
        <v>0</v>
      </c>
      <c r="E208" s="29">
        <v>0</v>
      </c>
      <c r="F208" s="29">
        <v>1</v>
      </c>
      <c r="G208" s="29">
        <v>0</v>
      </c>
      <c r="H208" s="29">
        <v>0</v>
      </c>
      <c r="I208" s="28">
        <v>1</v>
      </c>
      <c r="J208" s="27" t="str">
        <f t="shared" si="10"/>
        <v>0xC9</v>
      </c>
      <c r="K208" s="22" t="str">
        <f t="shared" si="11"/>
        <v>#HC9#</v>
      </c>
    </row>
    <row r="209" spans="1:11" ht="16.5" thickBot="1" x14ac:dyDescent="0.3">
      <c r="A209" s="27">
        <v>202</v>
      </c>
      <c r="B209" s="30">
        <v>1</v>
      </c>
      <c r="C209" s="29">
        <v>1</v>
      </c>
      <c r="D209" s="29">
        <v>0</v>
      </c>
      <c r="E209" s="29">
        <v>0</v>
      </c>
      <c r="F209" s="29">
        <v>1</v>
      </c>
      <c r="G209" s="29">
        <v>0</v>
      </c>
      <c r="H209" s="29">
        <v>1</v>
      </c>
      <c r="I209" s="28">
        <v>0</v>
      </c>
      <c r="J209" s="27" t="str">
        <f t="shared" si="10"/>
        <v>0xCA</v>
      </c>
      <c r="K209" s="22" t="str">
        <f t="shared" si="11"/>
        <v>#HCA#</v>
      </c>
    </row>
    <row r="210" spans="1:11" ht="16.5" thickBot="1" x14ac:dyDescent="0.3">
      <c r="A210" s="27">
        <v>203</v>
      </c>
      <c r="B210" s="30">
        <v>1</v>
      </c>
      <c r="C210" s="29">
        <v>1</v>
      </c>
      <c r="D210" s="29">
        <v>0</v>
      </c>
      <c r="E210" s="29">
        <v>0</v>
      </c>
      <c r="F210" s="29">
        <v>1</v>
      </c>
      <c r="G210" s="29">
        <v>0</v>
      </c>
      <c r="H210" s="29">
        <v>1</v>
      </c>
      <c r="I210" s="28">
        <v>1</v>
      </c>
      <c r="J210" s="27" t="str">
        <f t="shared" si="10"/>
        <v>0xCB</v>
      </c>
      <c r="K210" s="22" t="str">
        <f t="shared" si="11"/>
        <v>#HCB#</v>
      </c>
    </row>
    <row r="211" spans="1:11" ht="16.5" thickBot="1" x14ac:dyDescent="0.3">
      <c r="A211" s="27">
        <v>204</v>
      </c>
      <c r="B211" s="30">
        <v>1</v>
      </c>
      <c r="C211" s="29">
        <v>1</v>
      </c>
      <c r="D211" s="29">
        <v>0</v>
      </c>
      <c r="E211" s="29">
        <v>0</v>
      </c>
      <c r="F211" s="29">
        <v>1</v>
      </c>
      <c r="G211" s="29">
        <v>1</v>
      </c>
      <c r="H211" s="29">
        <v>0</v>
      </c>
      <c r="I211" s="28">
        <v>0</v>
      </c>
      <c r="J211" s="27" t="str">
        <f t="shared" si="10"/>
        <v>0xCC</v>
      </c>
      <c r="K211" s="22" t="str">
        <f t="shared" si="11"/>
        <v>#HCC#</v>
      </c>
    </row>
    <row r="212" spans="1:11" ht="16.5" thickBot="1" x14ac:dyDescent="0.3">
      <c r="A212" s="27">
        <v>205</v>
      </c>
      <c r="B212" s="30">
        <v>1</v>
      </c>
      <c r="C212" s="29">
        <v>1</v>
      </c>
      <c r="D212" s="29">
        <v>0</v>
      </c>
      <c r="E212" s="29">
        <v>0</v>
      </c>
      <c r="F212" s="29">
        <v>1</v>
      </c>
      <c r="G212" s="29">
        <v>1</v>
      </c>
      <c r="H212" s="29">
        <v>0</v>
      </c>
      <c r="I212" s="28">
        <v>1</v>
      </c>
      <c r="J212" s="27" t="str">
        <f t="shared" si="10"/>
        <v>0xCD</v>
      </c>
      <c r="K212" s="22" t="str">
        <f t="shared" si="11"/>
        <v>#HCD#</v>
      </c>
    </row>
    <row r="213" spans="1:11" ht="16.5" thickBot="1" x14ac:dyDescent="0.3">
      <c r="A213" s="27">
        <v>206</v>
      </c>
      <c r="B213" s="30">
        <v>1</v>
      </c>
      <c r="C213" s="29">
        <v>1</v>
      </c>
      <c r="D213" s="29">
        <v>0</v>
      </c>
      <c r="E213" s="29">
        <v>0</v>
      </c>
      <c r="F213" s="29">
        <v>1</v>
      </c>
      <c r="G213" s="29">
        <v>1</v>
      </c>
      <c r="H213" s="29">
        <v>1</v>
      </c>
      <c r="I213" s="28">
        <v>0</v>
      </c>
      <c r="J213" s="27" t="str">
        <f t="shared" si="10"/>
        <v>0xCE</v>
      </c>
      <c r="K213" s="22" t="str">
        <f t="shared" si="11"/>
        <v>#HCE#</v>
      </c>
    </row>
    <row r="214" spans="1:11" ht="16.5" thickBot="1" x14ac:dyDescent="0.3">
      <c r="A214" s="27">
        <v>207</v>
      </c>
      <c r="B214" s="30">
        <v>1</v>
      </c>
      <c r="C214" s="29">
        <v>1</v>
      </c>
      <c r="D214" s="29">
        <v>0</v>
      </c>
      <c r="E214" s="29">
        <v>0</v>
      </c>
      <c r="F214" s="29">
        <v>1</v>
      </c>
      <c r="G214" s="29">
        <v>1</v>
      </c>
      <c r="H214" s="29">
        <v>1</v>
      </c>
      <c r="I214" s="28">
        <v>1</v>
      </c>
      <c r="J214" s="27" t="str">
        <f t="shared" si="10"/>
        <v>0xCF</v>
      </c>
      <c r="K214" s="22" t="str">
        <f t="shared" si="11"/>
        <v>#HCF#</v>
      </c>
    </row>
    <row r="215" spans="1:11" ht="16.5" thickBot="1" x14ac:dyDescent="0.3">
      <c r="A215" s="27">
        <v>208</v>
      </c>
      <c r="B215" s="30">
        <v>1</v>
      </c>
      <c r="C215" s="29">
        <v>1</v>
      </c>
      <c r="D215" s="29">
        <v>0</v>
      </c>
      <c r="E215" s="29">
        <v>0</v>
      </c>
      <c r="F215" s="29">
        <v>0</v>
      </c>
      <c r="G215" s="29">
        <v>0</v>
      </c>
      <c r="H215" s="29">
        <v>0</v>
      </c>
      <c r="I215" s="28">
        <v>0</v>
      </c>
      <c r="J215" s="27" t="str">
        <f t="shared" si="10"/>
        <v>0xD0</v>
      </c>
      <c r="K215" s="22" t="str">
        <f t="shared" si="11"/>
        <v>#HD0#</v>
      </c>
    </row>
    <row r="216" spans="1:11" ht="16.5" thickBot="1" x14ac:dyDescent="0.3">
      <c r="A216" s="27">
        <v>209</v>
      </c>
      <c r="B216" s="30">
        <v>1</v>
      </c>
      <c r="C216" s="29">
        <v>1</v>
      </c>
      <c r="D216" s="29">
        <v>0</v>
      </c>
      <c r="E216" s="29">
        <v>0</v>
      </c>
      <c r="F216" s="29">
        <v>0</v>
      </c>
      <c r="G216" s="29">
        <v>0</v>
      </c>
      <c r="H216" s="29">
        <v>0</v>
      </c>
      <c r="I216" s="28">
        <v>1</v>
      </c>
      <c r="J216" s="27" t="str">
        <f t="shared" si="10"/>
        <v>0xD1</v>
      </c>
      <c r="K216" s="22" t="str">
        <f t="shared" si="11"/>
        <v>#HD1#</v>
      </c>
    </row>
    <row r="217" spans="1:11" ht="16.5" thickBot="1" x14ac:dyDescent="0.3">
      <c r="A217" s="27">
        <v>210</v>
      </c>
      <c r="B217" s="30">
        <v>1</v>
      </c>
      <c r="C217" s="29">
        <v>1</v>
      </c>
      <c r="D217" s="29">
        <v>0</v>
      </c>
      <c r="E217" s="29">
        <v>1</v>
      </c>
      <c r="F217" s="29">
        <v>0</v>
      </c>
      <c r="G217" s="29">
        <v>0</v>
      </c>
      <c r="H217" s="29">
        <v>1</v>
      </c>
      <c r="I217" s="28">
        <v>0</v>
      </c>
      <c r="J217" s="27" t="str">
        <f t="shared" si="10"/>
        <v>0xD2</v>
      </c>
      <c r="K217" s="22" t="str">
        <f t="shared" si="11"/>
        <v>#HD2#</v>
      </c>
    </row>
    <row r="218" spans="1:11" ht="16.5" thickBot="1" x14ac:dyDescent="0.3">
      <c r="A218" s="27">
        <v>211</v>
      </c>
      <c r="B218" s="30">
        <v>1</v>
      </c>
      <c r="C218" s="29">
        <v>1</v>
      </c>
      <c r="D218" s="29">
        <v>0</v>
      </c>
      <c r="E218" s="29">
        <v>1</v>
      </c>
      <c r="F218" s="29">
        <v>0</v>
      </c>
      <c r="G218" s="29">
        <v>0</v>
      </c>
      <c r="H218" s="29">
        <v>1</v>
      </c>
      <c r="I218" s="28">
        <v>1</v>
      </c>
      <c r="J218" s="27" t="str">
        <f t="shared" si="10"/>
        <v>0xD3</v>
      </c>
      <c r="K218" s="22" t="str">
        <f t="shared" si="11"/>
        <v>#HD3#</v>
      </c>
    </row>
    <row r="219" spans="1:11" ht="16.5" thickBot="1" x14ac:dyDescent="0.3">
      <c r="A219" s="27">
        <v>212</v>
      </c>
      <c r="B219" s="30">
        <v>1</v>
      </c>
      <c r="C219" s="29">
        <v>1</v>
      </c>
      <c r="D219" s="29">
        <v>0</v>
      </c>
      <c r="E219" s="29">
        <v>1</v>
      </c>
      <c r="F219" s="29">
        <v>0</v>
      </c>
      <c r="G219" s="29">
        <v>1</v>
      </c>
      <c r="H219" s="29">
        <v>0</v>
      </c>
      <c r="I219" s="28">
        <v>0</v>
      </c>
      <c r="J219" s="27" t="str">
        <f t="shared" si="10"/>
        <v>0xD4</v>
      </c>
      <c r="K219" s="22" t="str">
        <f t="shared" si="11"/>
        <v>#HD4#</v>
      </c>
    </row>
    <row r="220" spans="1:11" ht="16.5" thickBot="1" x14ac:dyDescent="0.3">
      <c r="A220" s="27">
        <v>213</v>
      </c>
      <c r="B220" s="30">
        <v>1</v>
      </c>
      <c r="C220" s="29">
        <v>1</v>
      </c>
      <c r="D220" s="29">
        <v>0</v>
      </c>
      <c r="E220" s="29">
        <v>1</v>
      </c>
      <c r="F220" s="29">
        <v>0</v>
      </c>
      <c r="G220" s="29">
        <v>1</v>
      </c>
      <c r="H220" s="29">
        <v>0</v>
      </c>
      <c r="I220" s="28">
        <v>1</v>
      </c>
      <c r="J220" s="27" t="str">
        <f t="shared" si="10"/>
        <v>0xD5</v>
      </c>
      <c r="K220" s="22" t="str">
        <f t="shared" si="11"/>
        <v>#HD5#</v>
      </c>
    </row>
    <row r="221" spans="1:11" ht="16.5" thickBot="1" x14ac:dyDescent="0.3">
      <c r="A221" s="27">
        <v>214</v>
      </c>
      <c r="B221" s="30">
        <v>1</v>
      </c>
      <c r="C221" s="29">
        <v>1</v>
      </c>
      <c r="D221" s="29">
        <v>0</v>
      </c>
      <c r="E221" s="29">
        <v>1</v>
      </c>
      <c r="F221" s="29">
        <v>0</v>
      </c>
      <c r="G221" s="29">
        <v>1</v>
      </c>
      <c r="H221" s="29">
        <v>1</v>
      </c>
      <c r="I221" s="28">
        <v>0</v>
      </c>
      <c r="J221" s="27" t="str">
        <f t="shared" si="10"/>
        <v>0xD6</v>
      </c>
      <c r="K221" s="22" t="str">
        <f t="shared" si="11"/>
        <v>#HD6#</v>
      </c>
    </row>
    <row r="222" spans="1:11" ht="16.5" thickBot="1" x14ac:dyDescent="0.3">
      <c r="A222" s="27">
        <v>215</v>
      </c>
      <c r="B222" s="30">
        <v>1</v>
      </c>
      <c r="C222" s="29">
        <v>1</v>
      </c>
      <c r="D222" s="29">
        <v>0</v>
      </c>
      <c r="E222" s="29">
        <v>1</v>
      </c>
      <c r="F222" s="29">
        <v>0</v>
      </c>
      <c r="G222" s="29">
        <v>1</v>
      </c>
      <c r="H222" s="29">
        <v>1</v>
      </c>
      <c r="I222" s="28">
        <v>1</v>
      </c>
      <c r="J222" s="27" t="str">
        <f t="shared" si="10"/>
        <v>0xD7</v>
      </c>
      <c r="K222" s="22" t="str">
        <f t="shared" si="11"/>
        <v>#HD7#</v>
      </c>
    </row>
    <row r="223" spans="1:11" ht="16.5" thickBot="1" x14ac:dyDescent="0.3">
      <c r="A223" s="27">
        <v>216</v>
      </c>
      <c r="B223" s="30">
        <v>1</v>
      </c>
      <c r="C223" s="29">
        <v>1</v>
      </c>
      <c r="D223" s="29">
        <v>0</v>
      </c>
      <c r="E223" s="29">
        <v>1</v>
      </c>
      <c r="F223" s="29">
        <v>1</v>
      </c>
      <c r="G223" s="29">
        <v>0</v>
      </c>
      <c r="H223" s="29">
        <v>0</v>
      </c>
      <c r="I223" s="28">
        <v>0</v>
      </c>
      <c r="J223" s="27" t="str">
        <f t="shared" si="10"/>
        <v>0xD8</v>
      </c>
      <c r="K223" s="22" t="str">
        <f t="shared" si="11"/>
        <v>#HD8#</v>
      </c>
    </row>
    <row r="224" spans="1:11" ht="16.5" thickBot="1" x14ac:dyDescent="0.3">
      <c r="A224" s="27">
        <v>217</v>
      </c>
      <c r="B224" s="30">
        <v>1</v>
      </c>
      <c r="C224" s="29">
        <v>1</v>
      </c>
      <c r="D224" s="29">
        <v>0</v>
      </c>
      <c r="E224" s="29">
        <v>1</v>
      </c>
      <c r="F224" s="29">
        <v>1</v>
      </c>
      <c r="G224" s="29">
        <v>0</v>
      </c>
      <c r="H224" s="29">
        <v>0</v>
      </c>
      <c r="I224" s="28">
        <v>1</v>
      </c>
      <c r="J224" s="27" t="str">
        <f t="shared" si="10"/>
        <v>0xD9</v>
      </c>
      <c r="K224" s="22" t="str">
        <f t="shared" si="11"/>
        <v>#HD9#</v>
      </c>
    </row>
    <row r="225" spans="1:11" ht="16.5" thickBot="1" x14ac:dyDescent="0.3">
      <c r="A225" s="27">
        <v>218</v>
      </c>
      <c r="B225" s="30">
        <v>1</v>
      </c>
      <c r="C225" s="29">
        <v>1</v>
      </c>
      <c r="D225" s="29">
        <v>0</v>
      </c>
      <c r="E225" s="29">
        <v>1</v>
      </c>
      <c r="F225" s="29">
        <v>1</v>
      </c>
      <c r="G225" s="29">
        <v>0</v>
      </c>
      <c r="H225" s="29">
        <v>1</v>
      </c>
      <c r="I225" s="28">
        <v>0</v>
      </c>
      <c r="J225" s="27" t="str">
        <f t="shared" si="10"/>
        <v>0xDA</v>
      </c>
      <c r="K225" s="22" t="str">
        <f t="shared" si="11"/>
        <v>#HDA#</v>
      </c>
    </row>
    <row r="226" spans="1:11" ht="16.5" thickBot="1" x14ac:dyDescent="0.3">
      <c r="A226" s="27">
        <v>219</v>
      </c>
      <c r="B226" s="30">
        <v>1</v>
      </c>
      <c r="C226" s="29">
        <v>1</v>
      </c>
      <c r="D226" s="29">
        <v>0</v>
      </c>
      <c r="E226" s="29">
        <v>1</v>
      </c>
      <c r="F226" s="29">
        <v>1</v>
      </c>
      <c r="G226" s="29">
        <v>0</v>
      </c>
      <c r="H226" s="29">
        <v>1</v>
      </c>
      <c r="I226" s="28">
        <v>1</v>
      </c>
      <c r="J226" s="27" t="str">
        <f t="shared" si="10"/>
        <v>0xDB</v>
      </c>
      <c r="K226" s="22" t="str">
        <f t="shared" si="11"/>
        <v>#HDB#</v>
      </c>
    </row>
    <row r="227" spans="1:11" ht="16.5" thickBot="1" x14ac:dyDescent="0.3">
      <c r="A227" s="27">
        <v>220</v>
      </c>
      <c r="B227" s="30">
        <v>1</v>
      </c>
      <c r="C227" s="29">
        <v>1</v>
      </c>
      <c r="D227" s="29">
        <v>0</v>
      </c>
      <c r="E227" s="29">
        <v>1</v>
      </c>
      <c r="F227" s="29">
        <v>1</v>
      </c>
      <c r="G227" s="29">
        <v>1</v>
      </c>
      <c r="H227" s="29">
        <v>0</v>
      </c>
      <c r="I227" s="28">
        <v>0</v>
      </c>
      <c r="J227" s="27" t="str">
        <f t="shared" si="10"/>
        <v>0xDC</v>
      </c>
      <c r="K227" s="22" t="str">
        <f t="shared" si="11"/>
        <v>#HDC#</v>
      </c>
    </row>
    <row r="228" spans="1:11" ht="16.5" thickBot="1" x14ac:dyDescent="0.3">
      <c r="A228" s="27">
        <v>221</v>
      </c>
      <c r="B228" s="30">
        <v>1</v>
      </c>
      <c r="C228" s="29">
        <v>1</v>
      </c>
      <c r="D228" s="29">
        <v>0</v>
      </c>
      <c r="E228" s="29">
        <v>1</v>
      </c>
      <c r="F228" s="29">
        <v>1</v>
      </c>
      <c r="G228" s="29">
        <v>1</v>
      </c>
      <c r="H228" s="29">
        <v>0</v>
      </c>
      <c r="I228" s="28">
        <v>1</v>
      </c>
      <c r="J228" s="27" t="str">
        <f t="shared" si="10"/>
        <v>0xDD</v>
      </c>
      <c r="K228" s="22" t="str">
        <f t="shared" si="11"/>
        <v>#HDD#</v>
      </c>
    </row>
    <row r="229" spans="1:11" ht="16.5" thickBot="1" x14ac:dyDescent="0.3">
      <c r="A229" s="27">
        <v>222</v>
      </c>
      <c r="B229" s="30">
        <v>1</v>
      </c>
      <c r="C229" s="29">
        <v>1</v>
      </c>
      <c r="D229" s="29">
        <v>0</v>
      </c>
      <c r="E229" s="29">
        <v>1</v>
      </c>
      <c r="F229" s="29">
        <v>1</v>
      </c>
      <c r="G229" s="29">
        <v>1</v>
      </c>
      <c r="H229" s="29">
        <v>1</v>
      </c>
      <c r="I229" s="28">
        <v>0</v>
      </c>
      <c r="J229" s="27" t="str">
        <f t="shared" si="10"/>
        <v>0xDE</v>
      </c>
      <c r="K229" s="22" t="str">
        <f t="shared" si="11"/>
        <v>#HDE#</v>
      </c>
    </row>
    <row r="230" spans="1:11" ht="16.5" thickBot="1" x14ac:dyDescent="0.3">
      <c r="A230" s="27">
        <v>223</v>
      </c>
      <c r="B230" s="30">
        <v>1</v>
      </c>
      <c r="C230" s="29">
        <v>1</v>
      </c>
      <c r="D230" s="29">
        <v>0</v>
      </c>
      <c r="E230" s="29">
        <v>1</v>
      </c>
      <c r="F230" s="29">
        <v>1</v>
      </c>
      <c r="G230" s="29">
        <v>1</v>
      </c>
      <c r="H230" s="29">
        <v>1</v>
      </c>
      <c r="I230" s="28">
        <v>1</v>
      </c>
      <c r="J230" s="27" t="str">
        <f t="shared" si="10"/>
        <v>0xDF</v>
      </c>
      <c r="K230" s="22" t="str">
        <f t="shared" si="11"/>
        <v>#HDF#</v>
      </c>
    </row>
    <row r="231" spans="1:11" ht="16.5" thickBot="1" x14ac:dyDescent="0.3">
      <c r="A231" s="27">
        <v>224</v>
      </c>
      <c r="B231" s="30">
        <v>1</v>
      </c>
      <c r="C231" s="29">
        <v>1</v>
      </c>
      <c r="D231" s="29">
        <v>1</v>
      </c>
      <c r="E231" s="29">
        <v>0</v>
      </c>
      <c r="F231" s="29">
        <v>0</v>
      </c>
      <c r="G231" s="29">
        <v>0</v>
      </c>
      <c r="H231" s="29">
        <v>0</v>
      </c>
      <c r="I231" s="28">
        <v>0</v>
      </c>
      <c r="J231" s="27" t="str">
        <f t="shared" si="10"/>
        <v>0xE0</v>
      </c>
      <c r="K231" s="22" t="str">
        <f t="shared" si="11"/>
        <v>#HE0#</v>
      </c>
    </row>
    <row r="232" spans="1:11" ht="16.5" thickBot="1" x14ac:dyDescent="0.3">
      <c r="A232" s="27">
        <v>225</v>
      </c>
      <c r="B232" s="30">
        <v>1</v>
      </c>
      <c r="C232" s="29">
        <v>1</v>
      </c>
      <c r="D232" s="29">
        <v>1</v>
      </c>
      <c r="E232" s="29">
        <v>0</v>
      </c>
      <c r="F232" s="29">
        <v>0</v>
      </c>
      <c r="G232" s="29">
        <v>0</v>
      </c>
      <c r="H232" s="29">
        <v>0</v>
      </c>
      <c r="I232" s="28">
        <v>1</v>
      </c>
      <c r="J232" s="27" t="str">
        <f t="shared" si="10"/>
        <v>0xE1</v>
      </c>
      <c r="K232" s="22" t="str">
        <f t="shared" si="11"/>
        <v>#HE1#</v>
      </c>
    </row>
    <row r="233" spans="1:11" ht="16.5" thickBot="1" x14ac:dyDescent="0.3">
      <c r="A233" s="27">
        <v>226</v>
      </c>
      <c r="B233" s="30">
        <v>1</v>
      </c>
      <c r="C233" s="29">
        <v>1</v>
      </c>
      <c r="D233" s="29">
        <v>1</v>
      </c>
      <c r="E233" s="29">
        <v>0</v>
      </c>
      <c r="F233" s="29">
        <v>0</v>
      </c>
      <c r="G233" s="29">
        <v>0</v>
      </c>
      <c r="H233" s="29">
        <v>1</v>
      </c>
      <c r="I233" s="28">
        <v>0</v>
      </c>
      <c r="J233" s="27" t="str">
        <f t="shared" si="10"/>
        <v>0xE2</v>
      </c>
      <c r="K233" s="22" t="str">
        <f t="shared" si="11"/>
        <v>#HE2#</v>
      </c>
    </row>
    <row r="234" spans="1:11" ht="16.5" thickBot="1" x14ac:dyDescent="0.3">
      <c r="A234" s="27">
        <v>227</v>
      </c>
      <c r="B234" s="30">
        <v>1</v>
      </c>
      <c r="C234" s="29">
        <v>1</v>
      </c>
      <c r="D234" s="29">
        <v>1</v>
      </c>
      <c r="E234" s="29">
        <v>0</v>
      </c>
      <c r="F234" s="29">
        <v>0</v>
      </c>
      <c r="G234" s="29">
        <v>0</v>
      </c>
      <c r="H234" s="29">
        <v>1</v>
      </c>
      <c r="I234" s="28">
        <v>1</v>
      </c>
      <c r="J234" s="27" t="str">
        <f t="shared" si="10"/>
        <v>0xE3</v>
      </c>
      <c r="K234" s="22" t="str">
        <f t="shared" si="11"/>
        <v>#HE3#</v>
      </c>
    </row>
    <row r="235" spans="1:11" ht="16.5" thickBot="1" x14ac:dyDescent="0.3">
      <c r="A235" s="27">
        <v>228</v>
      </c>
      <c r="B235" s="30">
        <v>1</v>
      </c>
      <c r="C235" s="29">
        <v>1</v>
      </c>
      <c r="D235" s="29">
        <v>1</v>
      </c>
      <c r="E235" s="29">
        <v>0</v>
      </c>
      <c r="F235" s="29">
        <v>0</v>
      </c>
      <c r="G235" s="29">
        <v>1</v>
      </c>
      <c r="H235" s="29">
        <v>0</v>
      </c>
      <c r="I235" s="28">
        <v>0</v>
      </c>
      <c r="J235" s="27" t="str">
        <f t="shared" si="10"/>
        <v>0xE4</v>
      </c>
      <c r="K235" s="22" t="str">
        <f t="shared" si="11"/>
        <v>#HE4#</v>
      </c>
    </row>
    <row r="236" spans="1:11" ht="16.5" thickBot="1" x14ac:dyDescent="0.3">
      <c r="A236" s="27">
        <v>229</v>
      </c>
      <c r="B236" s="30">
        <v>1</v>
      </c>
      <c r="C236" s="29">
        <v>1</v>
      </c>
      <c r="D236" s="29">
        <v>1</v>
      </c>
      <c r="E236" s="29">
        <v>0</v>
      </c>
      <c r="F236" s="29">
        <v>0</v>
      </c>
      <c r="G236" s="29">
        <v>1</v>
      </c>
      <c r="H236" s="29">
        <v>0</v>
      </c>
      <c r="I236" s="28">
        <v>1</v>
      </c>
      <c r="J236" s="27" t="str">
        <f t="shared" si="10"/>
        <v>0xE5</v>
      </c>
      <c r="K236" s="22" t="str">
        <f t="shared" si="11"/>
        <v>#HE5#</v>
      </c>
    </row>
    <row r="237" spans="1:11" ht="16.5" thickBot="1" x14ac:dyDescent="0.3">
      <c r="A237" s="27">
        <v>230</v>
      </c>
      <c r="B237" s="30">
        <v>1</v>
      </c>
      <c r="C237" s="29">
        <v>1</v>
      </c>
      <c r="D237" s="29">
        <v>1</v>
      </c>
      <c r="E237" s="29">
        <v>0</v>
      </c>
      <c r="F237" s="29">
        <v>0</v>
      </c>
      <c r="G237" s="29">
        <v>1</v>
      </c>
      <c r="H237" s="29">
        <v>1</v>
      </c>
      <c r="I237" s="28">
        <v>0</v>
      </c>
      <c r="J237" s="27" t="str">
        <f t="shared" si="10"/>
        <v>0xE6</v>
      </c>
      <c r="K237" s="22" t="str">
        <f t="shared" si="11"/>
        <v>#HE6#</v>
      </c>
    </row>
    <row r="238" spans="1:11" ht="16.5" thickBot="1" x14ac:dyDescent="0.3">
      <c r="A238" s="27">
        <v>231</v>
      </c>
      <c r="B238" s="30">
        <v>1</v>
      </c>
      <c r="C238" s="29">
        <v>1</v>
      </c>
      <c r="D238" s="29">
        <v>1</v>
      </c>
      <c r="E238" s="29">
        <v>0</v>
      </c>
      <c r="F238" s="29">
        <v>0</v>
      </c>
      <c r="G238" s="29">
        <v>1</v>
      </c>
      <c r="H238" s="29">
        <v>1</v>
      </c>
      <c r="I238" s="28">
        <v>1</v>
      </c>
      <c r="J238" s="27" t="str">
        <f t="shared" si="10"/>
        <v>0xE7</v>
      </c>
      <c r="K238" s="22" t="str">
        <f t="shared" si="11"/>
        <v>#HE7#</v>
      </c>
    </row>
    <row r="239" spans="1:11" ht="16.5" thickBot="1" x14ac:dyDescent="0.3">
      <c r="A239" s="27">
        <v>232</v>
      </c>
      <c r="B239" s="30">
        <v>1</v>
      </c>
      <c r="C239" s="29">
        <v>1</v>
      </c>
      <c r="D239" s="29">
        <v>1</v>
      </c>
      <c r="E239" s="29">
        <v>0</v>
      </c>
      <c r="F239" s="29">
        <v>1</v>
      </c>
      <c r="G239" s="29">
        <v>0</v>
      </c>
      <c r="H239" s="29">
        <v>0</v>
      </c>
      <c r="I239" s="28">
        <v>0</v>
      </c>
      <c r="J239" s="27" t="str">
        <f t="shared" si="10"/>
        <v>0xE8</v>
      </c>
      <c r="K239" s="22" t="str">
        <f t="shared" si="11"/>
        <v>#HE8#</v>
      </c>
    </row>
    <row r="240" spans="1:11" ht="16.5" thickBot="1" x14ac:dyDescent="0.3">
      <c r="A240" s="27">
        <v>233</v>
      </c>
      <c r="B240" s="30">
        <v>1</v>
      </c>
      <c r="C240" s="29">
        <v>1</v>
      </c>
      <c r="D240" s="29">
        <v>1</v>
      </c>
      <c r="E240" s="29">
        <v>0</v>
      </c>
      <c r="F240" s="29">
        <v>1</v>
      </c>
      <c r="G240" s="29">
        <v>0</v>
      </c>
      <c r="H240" s="29">
        <v>0</v>
      </c>
      <c r="I240" s="28">
        <v>1</v>
      </c>
      <c r="J240" s="27" t="str">
        <f t="shared" si="10"/>
        <v>0xE9</v>
      </c>
      <c r="K240" s="22" t="str">
        <f t="shared" si="11"/>
        <v>#HE9#</v>
      </c>
    </row>
    <row r="241" spans="1:11" ht="16.5" thickBot="1" x14ac:dyDescent="0.3">
      <c r="A241" s="27">
        <v>234</v>
      </c>
      <c r="B241" s="30">
        <v>1</v>
      </c>
      <c r="C241" s="29">
        <v>1</v>
      </c>
      <c r="D241" s="29">
        <v>1</v>
      </c>
      <c r="E241" s="29">
        <v>0</v>
      </c>
      <c r="F241" s="29">
        <v>1</v>
      </c>
      <c r="G241" s="29">
        <v>0</v>
      </c>
      <c r="H241" s="29">
        <v>1</v>
      </c>
      <c r="I241" s="28">
        <v>0</v>
      </c>
      <c r="J241" s="27" t="str">
        <f t="shared" si="10"/>
        <v>0xEA</v>
      </c>
      <c r="K241" s="22" t="str">
        <f t="shared" si="11"/>
        <v>#HEA#</v>
      </c>
    </row>
    <row r="242" spans="1:11" ht="16.5" thickBot="1" x14ac:dyDescent="0.3">
      <c r="A242" s="27">
        <v>235</v>
      </c>
      <c r="B242" s="30">
        <v>1</v>
      </c>
      <c r="C242" s="29">
        <v>1</v>
      </c>
      <c r="D242" s="29">
        <v>1</v>
      </c>
      <c r="E242" s="29">
        <v>0</v>
      </c>
      <c r="F242" s="29">
        <v>1</v>
      </c>
      <c r="G242" s="29">
        <v>0</v>
      </c>
      <c r="H242" s="29">
        <v>1</v>
      </c>
      <c r="I242" s="28">
        <v>1</v>
      </c>
      <c r="J242" s="27" t="str">
        <f t="shared" si="10"/>
        <v>0xEB</v>
      </c>
      <c r="K242" s="22" t="str">
        <f t="shared" si="11"/>
        <v>#HEB#</v>
      </c>
    </row>
    <row r="243" spans="1:11" ht="16.5" thickBot="1" x14ac:dyDescent="0.3">
      <c r="A243" s="27">
        <v>236</v>
      </c>
      <c r="B243" s="30">
        <v>1</v>
      </c>
      <c r="C243" s="29">
        <v>1</v>
      </c>
      <c r="D243" s="29">
        <v>1</v>
      </c>
      <c r="E243" s="29">
        <v>0</v>
      </c>
      <c r="F243" s="29">
        <v>1</v>
      </c>
      <c r="G243" s="29">
        <v>1</v>
      </c>
      <c r="H243" s="29">
        <v>0</v>
      </c>
      <c r="I243" s="28">
        <v>0</v>
      </c>
      <c r="J243" s="27" t="str">
        <f t="shared" si="10"/>
        <v>0xEC</v>
      </c>
      <c r="K243" s="22" t="str">
        <f t="shared" si="11"/>
        <v>#HEC#</v>
      </c>
    </row>
    <row r="244" spans="1:11" ht="16.5" thickBot="1" x14ac:dyDescent="0.3">
      <c r="A244" s="27">
        <v>237</v>
      </c>
      <c r="B244" s="30">
        <v>1</v>
      </c>
      <c r="C244" s="29">
        <v>1</v>
      </c>
      <c r="D244" s="29">
        <v>1</v>
      </c>
      <c r="E244" s="29">
        <v>0</v>
      </c>
      <c r="F244" s="29">
        <v>1</v>
      </c>
      <c r="G244" s="29">
        <v>1</v>
      </c>
      <c r="H244" s="29">
        <v>0</v>
      </c>
      <c r="I244" s="28">
        <v>1</v>
      </c>
      <c r="J244" s="27" t="str">
        <f t="shared" si="10"/>
        <v>0xED</v>
      </c>
      <c r="K244" s="22" t="str">
        <f t="shared" si="11"/>
        <v>#HED#</v>
      </c>
    </row>
    <row r="245" spans="1:11" ht="16.5" thickBot="1" x14ac:dyDescent="0.3">
      <c r="A245" s="27">
        <v>238</v>
      </c>
      <c r="B245" s="30">
        <v>1</v>
      </c>
      <c r="C245" s="29">
        <v>1</v>
      </c>
      <c r="D245" s="29">
        <v>1</v>
      </c>
      <c r="E245" s="29">
        <v>0</v>
      </c>
      <c r="F245" s="29">
        <v>1</v>
      </c>
      <c r="G245" s="29">
        <v>1</v>
      </c>
      <c r="H245" s="29">
        <v>1</v>
      </c>
      <c r="I245" s="28">
        <v>0</v>
      </c>
      <c r="J245" s="27" t="str">
        <f t="shared" si="10"/>
        <v>0xEE</v>
      </c>
      <c r="K245" s="22" t="str">
        <f t="shared" si="11"/>
        <v>#HEE#</v>
      </c>
    </row>
    <row r="246" spans="1:11" ht="16.5" thickBot="1" x14ac:dyDescent="0.3">
      <c r="A246" s="27">
        <v>239</v>
      </c>
      <c r="B246" s="30">
        <v>1</v>
      </c>
      <c r="C246" s="29">
        <v>1</v>
      </c>
      <c r="D246" s="29">
        <v>1</v>
      </c>
      <c r="E246" s="29">
        <v>0</v>
      </c>
      <c r="F246" s="29">
        <v>1</v>
      </c>
      <c r="G246" s="29">
        <v>1</v>
      </c>
      <c r="H246" s="29">
        <v>1</v>
      </c>
      <c r="I246" s="28">
        <v>1</v>
      </c>
      <c r="J246" s="27" t="str">
        <f t="shared" si="10"/>
        <v>0xEF</v>
      </c>
      <c r="K246" s="22" t="str">
        <f t="shared" si="11"/>
        <v>#HEF#</v>
      </c>
    </row>
    <row r="247" spans="1:11" ht="16.5" thickBot="1" x14ac:dyDescent="0.3">
      <c r="A247" s="27">
        <v>240</v>
      </c>
      <c r="B247" s="30">
        <v>1</v>
      </c>
      <c r="C247" s="29">
        <v>1</v>
      </c>
      <c r="D247" s="29">
        <v>1</v>
      </c>
      <c r="E247" s="29">
        <v>0</v>
      </c>
      <c r="F247" s="29">
        <v>0</v>
      </c>
      <c r="G247" s="29">
        <v>0</v>
      </c>
      <c r="H247" s="29">
        <v>0</v>
      </c>
      <c r="I247" s="28">
        <v>0</v>
      </c>
      <c r="J247" s="27" t="str">
        <f t="shared" si="10"/>
        <v>0xF0</v>
      </c>
      <c r="K247" s="22" t="str">
        <f t="shared" si="11"/>
        <v>#HF0#</v>
      </c>
    </row>
    <row r="248" spans="1:11" ht="16.5" thickBot="1" x14ac:dyDescent="0.3">
      <c r="A248" s="27">
        <v>241</v>
      </c>
      <c r="B248" s="30">
        <v>1</v>
      </c>
      <c r="C248" s="29">
        <v>1</v>
      </c>
      <c r="D248" s="29">
        <v>1</v>
      </c>
      <c r="E248" s="29">
        <v>0</v>
      </c>
      <c r="F248" s="29">
        <v>0</v>
      </c>
      <c r="G248" s="29">
        <v>0</v>
      </c>
      <c r="H248" s="29">
        <v>0</v>
      </c>
      <c r="I248" s="28">
        <v>1</v>
      </c>
      <c r="J248" s="27" t="str">
        <f t="shared" si="10"/>
        <v>0xF1</v>
      </c>
      <c r="K248" s="22" t="str">
        <f t="shared" si="11"/>
        <v>#HF1#</v>
      </c>
    </row>
    <row r="249" spans="1:11" ht="16.5" thickBot="1" x14ac:dyDescent="0.3">
      <c r="A249" s="27">
        <v>242</v>
      </c>
      <c r="B249" s="30">
        <v>1</v>
      </c>
      <c r="C249" s="29">
        <v>1</v>
      </c>
      <c r="D249" s="29">
        <v>1</v>
      </c>
      <c r="E249" s="29">
        <v>0</v>
      </c>
      <c r="F249" s="29">
        <v>0</v>
      </c>
      <c r="G249" s="29">
        <v>0</v>
      </c>
      <c r="H249" s="29">
        <v>1</v>
      </c>
      <c r="I249" s="28">
        <v>0</v>
      </c>
      <c r="J249" s="27" t="str">
        <f t="shared" si="10"/>
        <v>0xF2</v>
      </c>
      <c r="K249" s="22" t="str">
        <f t="shared" si="11"/>
        <v>#HF2#</v>
      </c>
    </row>
    <row r="250" spans="1:11" ht="16.5" thickBot="1" x14ac:dyDescent="0.3">
      <c r="A250" s="27">
        <v>243</v>
      </c>
      <c r="B250" s="30">
        <v>1</v>
      </c>
      <c r="C250" s="29">
        <v>1</v>
      </c>
      <c r="D250" s="29">
        <v>1</v>
      </c>
      <c r="E250" s="29">
        <v>1</v>
      </c>
      <c r="F250" s="29">
        <v>0</v>
      </c>
      <c r="G250" s="29">
        <v>0</v>
      </c>
      <c r="H250" s="29">
        <v>1</v>
      </c>
      <c r="I250" s="28">
        <v>1</v>
      </c>
      <c r="J250" s="27" t="str">
        <f t="shared" si="10"/>
        <v>0xF3</v>
      </c>
      <c r="K250" s="22" t="str">
        <f t="shared" si="11"/>
        <v>#HF3#</v>
      </c>
    </row>
    <row r="251" spans="1:11" ht="16.5" thickBot="1" x14ac:dyDescent="0.3">
      <c r="A251" s="27">
        <v>244</v>
      </c>
      <c r="B251" s="30">
        <v>1</v>
      </c>
      <c r="C251" s="29">
        <v>1</v>
      </c>
      <c r="D251" s="29">
        <v>1</v>
      </c>
      <c r="E251" s="29">
        <v>1</v>
      </c>
      <c r="F251" s="29">
        <v>0</v>
      </c>
      <c r="G251" s="29">
        <v>1</v>
      </c>
      <c r="H251" s="29">
        <v>0</v>
      </c>
      <c r="I251" s="28">
        <v>0</v>
      </c>
      <c r="J251" s="27" t="str">
        <f t="shared" si="10"/>
        <v>0xF4</v>
      </c>
      <c r="K251" s="22" t="str">
        <f t="shared" si="11"/>
        <v>#HF4#</v>
      </c>
    </row>
    <row r="252" spans="1:11" ht="16.5" thickBot="1" x14ac:dyDescent="0.3">
      <c r="A252" s="27">
        <v>245</v>
      </c>
      <c r="B252" s="30">
        <v>1</v>
      </c>
      <c r="C252" s="29">
        <v>1</v>
      </c>
      <c r="D252" s="29">
        <v>1</v>
      </c>
      <c r="E252" s="29">
        <v>1</v>
      </c>
      <c r="F252" s="29">
        <v>0</v>
      </c>
      <c r="G252" s="29">
        <v>1</v>
      </c>
      <c r="H252" s="29">
        <v>0</v>
      </c>
      <c r="I252" s="28">
        <v>1</v>
      </c>
      <c r="J252" s="27" t="str">
        <f t="shared" si="10"/>
        <v>0xF5</v>
      </c>
      <c r="K252" s="22" t="str">
        <f t="shared" si="11"/>
        <v>#HF5#</v>
      </c>
    </row>
    <row r="253" spans="1:11" ht="16.5" thickBot="1" x14ac:dyDescent="0.3">
      <c r="A253" s="27">
        <v>246</v>
      </c>
      <c r="B253" s="30">
        <v>1</v>
      </c>
      <c r="C253" s="29">
        <v>1</v>
      </c>
      <c r="D253" s="29">
        <v>1</v>
      </c>
      <c r="E253" s="29">
        <v>1</v>
      </c>
      <c r="F253" s="29">
        <v>0</v>
      </c>
      <c r="G253" s="29">
        <v>1</v>
      </c>
      <c r="H253" s="29">
        <v>1</v>
      </c>
      <c r="I253" s="28">
        <v>0</v>
      </c>
      <c r="J253" s="27" t="str">
        <f t="shared" si="10"/>
        <v>0xF6</v>
      </c>
      <c r="K253" s="22" t="str">
        <f t="shared" si="11"/>
        <v>#HF6#</v>
      </c>
    </row>
    <row r="254" spans="1:11" ht="16.5" thickBot="1" x14ac:dyDescent="0.3">
      <c r="A254" s="27">
        <v>247</v>
      </c>
      <c r="B254" s="30">
        <v>1</v>
      </c>
      <c r="C254" s="29">
        <v>1</v>
      </c>
      <c r="D254" s="29">
        <v>1</v>
      </c>
      <c r="E254" s="29">
        <v>1</v>
      </c>
      <c r="F254" s="29">
        <v>0</v>
      </c>
      <c r="G254" s="29">
        <v>1</v>
      </c>
      <c r="H254" s="29">
        <v>1</v>
      </c>
      <c r="I254" s="28">
        <v>1</v>
      </c>
      <c r="J254" s="27" t="str">
        <f t="shared" si="10"/>
        <v>0xF7</v>
      </c>
      <c r="K254" s="22" t="str">
        <f t="shared" si="11"/>
        <v>#HF7#</v>
      </c>
    </row>
    <row r="255" spans="1:11" ht="16.5" thickBot="1" x14ac:dyDescent="0.3">
      <c r="A255" s="27">
        <v>248</v>
      </c>
      <c r="B255" s="30">
        <v>1</v>
      </c>
      <c r="C255" s="29">
        <v>1</v>
      </c>
      <c r="D255" s="29">
        <v>1</v>
      </c>
      <c r="E255" s="29">
        <v>1</v>
      </c>
      <c r="F255" s="29">
        <v>1</v>
      </c>
      <c r="G255" s="29">
        <v>0</v>
      </c>
      <c r="H255" s="29">
        <v>0</v>
      </c>
      <c r="I255" s="28">
        <v>0</v>
      </c>
      <c r="J255" s="27" t="str">
        <f t="shared" si="10"/>
        <v>0xF8</v>
      </c>
      <c r="K255" s="22" t="str">
        <f t="shared" si="11"/>
        <v>#HF8#</v>
      </c>
    </row>
    <row r="256" spans="1:11" ht="16.5" thickBot="1" x14ac:dyDescent="0.3">
      <c r="A256" s="27">
        <v>249</v>
      </c>
      <c r="B256" s="30">
        <v>1</v>
      </c>
      <c r="C256" s="29">
        <v>1</v>
      </c>
      <c r="D256" s="29">
        <v>1</v>
      </c>
      <c r="E256" s="29">
        <v>1</v>
      </c>
      <c r="F256" s="29">
        <v>1</v>
      </c>
      <c r="G256" s="29">
        <v>0</v>
      </c>
      <c r="H256" s="29">
        <v>0</v>
      </c>
      <c r="I256" s="28">
        <v>1</v>
      </c>
      <c r="J256" s="27" t="str">
        <f t="shared" si="10"/>
        <v>0xF9</v>
      </c>
      <c r="K256" s="22" t="str">
        <f t="shared" si="11"/>
        <v>#HF9#</v>
      </c>
    </row>
    <row r="257" spans="1:11" ht="16.5" thickBot="1" x14ac:dyDescent="0.3">
      <c r="A257" s="27">
        <v>250</v>
      </c>
      <c r="B257" s="30">
        <v>1</v>
      </c>
      <c r="C257" s="29">
        <v>1</v>
      </c>
      <c r="D257" s="29">
        <v>1</v>
      </c>
      <c r="E257" s="29">
        <v>1</v>
      </c>
      <c r="F257" s="29">
        <v>1</v>
      </c>
      <c r="G257" s="29">
        <v>0</v>
      </c>
      <c r="H257" s="29">
        <v>1</v>
      </c>
      <c r="I257" s="28">
        <v>0</v>
      </c>
      <c r="J257" s="27" t="str">
        <f t="shared" si="10"/>
        <v>0xFA</v>
      </c>
      <c r="K257" s="22" t="str">
        <f t="shared" si="11"/>
        <v>#HFA#</v>
      </c>
    </row>
    <row r="258" spans="1:11" ht="16.5" thickBot="1" x14ac:dyDescent="0.3">
      <c r="A258" s="27">
        <v>251</v>
      </c>
      <c r="B258" s="30">
        <v>1</v>
      </c>
      <c r="C258" s="29">
        <v>1</v>
      </c>
      <c r="D258" s="29">
        <v>1</v>
      </c>
      <c r="E258" s="29">
        <v>1</v>
      </c>
      <c r="F258" s="29">
        <v>1</v>
      </c>
      <c r="G258" s="29">
        <v>0</v>
      </c>
      <c r="H258" s="29">
        <v>1</v>
      </c>
      <c r="I258" s="28">
        <v>1</v>
      </c>
      <c r="J258" s="27" t="str">
        <f t="shared" si="10"/>
        <v>0xFB</v>
      </c>
      <c r="K258" s="22" t="str">
        <f t="shared" si="11"/>
        <v>#HFB#</v>
      </c>
    </row>
    <row r="259" spans="1:11" ht="16.5" thickBot="1" x14ac:dyDescent="0.3">
      <c r="A259" s="27">
        <v>252</v>
      </c>
      <c r="B259" s="30">
        <v>1</v>
      </c>
      <c r="C259" s="29">
        <v>1</v>
      </c>
      <c r="D259" s="29">
        <v>1</v>
      </c>
      <c r="E259" s="29">
        <v>1</v>
      </c>
      <c r="F259" s="29">
        <v>1</v>
      </c>
      <c r="G259" s="29">
        <v>1</v>
      </c>
      <c r="H259" s="29">
        <v>0</v>
      </c>
      <c r="I259" s="28">
        <v>0</v>
      </c>
      <c r="J259" s="27" t="str">
        <f t="shared" si="10"/>
        <v>0xFC</v>
      </c>
      <c r="K259" s="22" t="str">
        <f t="shared" si="11"/>
        <v>#HFC#</v>
      </c>
    </row>
    <row r="260" spans="1:11" ht="16.5" thickBot="1" x14ac:dyDescent="0.3">
      <c r="A260" s="27">
        <v>253</v>
      </c>
      <c r="B260" s="30">
        <v>1</v>
      </c>
      <c r="C260" s="29">
        <v>1</v>
      </c>
      <c r="D260" s="29">
        <v>1</v>
      </c>
      <c r="E260" s="29">
        <v>1</v>
      </c>
      <c r="F260" s="29">
        <v>1</v>
      </c>
      <c r="G260" s="29">
        <v>1</v>
      </c>
      <c r="H260" s="29">
        <v>0</v>
      </c>
      <c r="I260" s="28">
        <v>1</v>
      </c>
      <c r="J260" s="27" t="str">
        <f t="shared" si="10"/>
        <v>0xFD</v>
      </c>
      <c r="K260" s="22" t="str">
        <f t="shared" si="11"/>
        <v>#HFD#</v>
      </c>
    </row>
    <row r="261" spans="1:11" ht="16.5" thickBot="1" x14ac:dyDescent="0.3">
      <c r="A261" s="27">
        <v>254</v>
      </c>
      <c r="B261" s="30">
        <v>1</v>
      </c>
      <c r="C261" s="29">
        <v>1</v>
      </c>
      <c r="D261" s="29">
        <v>1</v>
      </c>
      <c r="E261" s="29">
        <v>1</v>
      </c>
      <c r="F261" s="29">
        <v>1</v>
      </c>
      <c r="G261" s="29">
        <v>1</v>
      </c>
      <c r="H261" s="29">
        <v>1</v>
      </c>
      <c r="I261" s="28">
        <v>0</v>
      </c>
      <c r="J261" s="27" t="str">
        <f t="shared" si="10"/>
        <v>0xFE</v>
      </c>
      <c r="K261" s="22" t="str">
        <f t="shared" si="11"/>
        <v>#HFE#</v>
      </c>
    </row>
    <row r="262" spans="1:11" ht="16.5" thickBot="1" x14ac:dyDescent="0.3">
      <c r="A262" s="23">
        <v>255</v>
      </c>
      <c r="B262" s="26">
        <v>1</v>
      </c>
      <c r="C262" s="25">
        <v>1</v>
      </c>
      <c r="D262" s="25">
        <v>1</v>
      </c>
      <c r="E262" s="25">
        <v>1</v>
      </c>
      <c r="F262" s="25">
        <v>1</v>
      </c>
      <c r="G262" s="25">
        <v>1</v>
      </c>
      <c r="H262" s="25">
        <v>1</v>
      </c>
      <c r="I262" s="24">
        <v>1</v>
      </c>
      <c r="J262" s="23" t="str">
        <f t="shared" si="10"/>
        <v>0xFF</v>
      </c>
      <c r="K262" s="22" t="str">
        <f t="shared" si="11"/>
        <v>#HFF#</v>
      </c>
    </row>
  </sheetData>
  <mergeCells count="7">
    <mergeCell ref="N1:R1"/>
    <mergeCell ref="B4:I4"/>
    <mergeCell ref="A1:I1"/>
    <mergeCell ref="B6:I6"/>
    <mergeCell ref="A4:A5"/>
    <mergeCell ref="K3:L3"/>
    <mergeCell ref="J6:K6"/>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6"/>
  <sheetViews>
    <sheetView tabSelected="1" workbookViewId="0">
      <selection activeCell="F15" sqref="F15"/>
    </sheetView>
  </sheetViews>
  <sheetFormatPr defaultRowHeight="15.75" x14ac:dyDescent="0.25"/>
  <cols>
    <col min="1" max="1" width="38.42578125" style="21" bestFit="1" customWidth="1"/>
    <col min="2" max="2" width="14" style="21" customWidth="1"/>
    <col min="3" max="3" width="33" style="284" customWidth="1"/>
    <col min="4" max="4" width="35.85546875" style="284" bestFit="1" customWidth="1"/>
    <col min="5" max="5" width="9.140625" style="21"/>
    <col min="6" max="6" width="15.140625" style="21" customWidth="1"/>
    <col min="7" max="7" width="22" style="21" customWidth="1"/>
    <col min="8" max="16384" width="9.140625" style="21"/>
  </cols>
  <sheetData>
    <row r="1" spans="1:7" ht="31.5" customHeight="1" thickBot="1" x14ac:dyDescent="0.3">
      <c r="A1" s="337" t="s">
        <v>1303</v>
      </c>
      <c r="B1" s="338"/>
      <c r="C1" s="338"/>
      <c r="D1" s="339"/>
      <c r="F1" s="340" t="s">
        <v>1328</v>
      </c>
      <c r="G1" s="341"/>
    </row>
    <row r="2" spans="1:7" ht="16.5" thickBot="1" x14ac:dyDescent="0.3">
      <c r="A2" s="230" t="s">
        <v>1156</v>
      </c>
      <c r="B2" s="231" t="s">
        <v>1157</v>
      </c>
      <c r="C2" s="248" t="s">
        <v>1158</v>
      </c>
      <c r="D2" s="249" t="s">
        <v>1159</v>
      </c>
      <c r="F2" s="252" t="s">
        <v>1304</v>
      </c>
      <c r="G2" s="253" t="s">
        <v>1305</v>
      </c>
    </row>
    <row r="3" spans="1:7" ht="18.75" x14ac:dyDescent="0.25">
      <c r="A3" s="227" t="s">
        <v>1160</v>
      </c>
      <c r="B3" s="246" t="s">
        <v>1161</v>
      </c>
      <c r="C3" s="247" t="s">
        <v>1162</v>
      </c>
      <c r="D3" s="245" t="s">
        <v>1163</v>
      </c>
      <c r="F3" s="251" t="s">
        <v>1306</v>
      </c>
      <c r="G3" s="251" t="s">
        <v>1307</v>
      </c>
    </row>
    <row r="4" spans="1:7" ht="18.75" x14ac:dyDescent="0.25">
      <c r="A4" s="220" t="s">
        <v>1164</v>
      </c>
      <c r="B4" s="233" t="s">
        <v>1165</v>
      </c>
      <c r="C4" s="241" t="s">
        <v>1166</v>
      </c>
      <c r="D4" s="240" t="s">
        <v>1167</v>
      </c>
      <c r="F4" s="250" t="s">
        <v>1308</v>
      </c>
      <c r="G4" s="250" t="s">
        <v>1309</v>
      </c>
    </row>
    <row r="5" spans="1:7" ht="18.75" x14ac:dyDescent="0.25">
      <c r="A5" s="220" t="s">
        <v>862</v>
      </c>
      <c r="B5" s="234" t="s">
        <v>1168</v>
      </c>
      <c r="C5" s="241" t="s">
        <v>1169</v>
      </c>
      <c r="D5" s="240" t="s">
        <v>1169</v>
      </c>
      <c r="F5" s="250" t="s">
        <v>1310</v>
      </c>
      <c r="G5" s="250" t="s">
        <v>1311</v>
      </c>
    </row>
    <row r="6" spans="1:7" ht="18.75" x14ac:dyDescent="0.25">
      <c r="A6" s="223" t="s">
        <v>1170</v>
      </c>
      <c r="B6" s="233" t="s">
        <v>1171</v>
      </c>
      <c r="C6" s="241" t="s">
        <v>1172</v>
      </c>
      <c r="D6" s="242" t="s">
        <v>1173</v>
      </c>
      <c r="F6" s="250" t="s">
        <v>1312</v>
      </c>
      <c r="G6" s="250" t="s">
        <v>1313</v>
      </c>
    </row>
    <row r="7" spans="1:7" ht="18.75" x14ac:dyDescent="0.25">
      <c r="A7" s="220" t="s">
        <v>1174</v>
      </c>
      <c r="B7" s="234" t="s">
        <v>1175</v>
      </c>
      <c r="C7" s="239" t="s">
        <v>1176</v>
      </c>
      <c r="D7" s="240" t="s">
        <v>1177</v>
      </c>
      <c r="F7" s="250" t="s">
        <v>1314</v>
      </c>
      <c r="G7" s="250" t="s">
        <v>1315</v>
      </c>
    </row>
    <row r="8" spans="1:7" x14ac:dyDescent="0.25">
      <c r="A8" s="220" t="s">
        <v>1178</v>
      </c>
      <c r="B8" s="234" t="s">
        <v>817</v>
      </c>
      <c r="C8" s="239" t="s">
        <v>1179</v>
      </c>
      <c r="D8" s="242" t="s">
        <v>1180</v>
      </c>
      <c r="F8" s="250" t="s">
        <v>1316</v>
      </c>
      <c r="G8" s="250" t="s">
        <v>1317</v>
      </c>
    </row>
    <row r="9" spans="1:7" ht="18.75" x14ac:dyDescent="0.25">
      <c r="A9" s="223" t="s">
        <v>1181</v>
      </c>
      <c r="B9" s="234" t="s">
        <v>1182</v>
      </c>
      <c r="C9" s="241" t="s">
        <v>1183</v>
      </c>
      <c r="D9" s="240" t="s">
        <v>547</v>
      </c>
      <c r="F9" s="250" t="s">
        <v>1318</v>
      </c>
      <c r="G9" s="250" t="s">
        <v>1319</v>
      </c>
    </row>
    <row r="10" spans="1:7" ht="18.75" x14ac:dyDescent="0.25">
      <c r="A10" s="223" t="s">
        <v>1184</v>
      </c>
      <c r="B10" s="235" t="s">
        <v>1185</v>
      </c>
      <c r="C10" s="241" t="s">
        <v>1186</v>
      </c>
      <c r="D10" s="240" t="s">
        <v>1187</v>
      </c>
      <c r="F10" s="250" t="s">
        <v>1320</v>
      </c>
      <c r="G10" s="250" t="s">
        <v>1321</v>
      </c>
    </row>
    <row r="11" spans="1:7" ht="18.75" x14ac:dyDescent="0.25">
      <c r="A11" s="223" t="s">
        <v>1188</v>
      </c>
      <c r="B11" s="235" t="s">
        <v>1189</v>
      </c>
      <c r="C11" s="241" t="s">
        <v>1190</v>
      </c>
      <c r="D11" s="240" t="s">
        <v>1191</v>
      </c>
      <c r="F11" s="250" t="s">
        <v>1322</v>
      </c>
      <c r="G11" s="250" t="s">
        <v>1323</v>
      </c>
    </row>
    <row r="12" spans="1:7" ht="18.75" x14ac:dyDescent="0.25">
      <c r="A12" s="223" t="s">
        <v>1192</v>
      </c>
      <c r="B12" s="235" t="s">
        <v>1193</v>
      </c>
      <c r="C12" s="241" t="s">
        <v>1194</v>
      </c>
      <c r="D12" s="240" t="s">
        <v>1195</v>
      </c>
      <c r="F12" s="250" t="s">
        <v>1324</v>
      </c>
      <c r="G12" s="250" t="s">
        <v>1325</v>
      </c>
    </row>
    <row r="13" spans="1:7" ht="18.75" x14ac:dyDescent="0.25">
      <c r="A13" s="223" t="s">
        <v>1196</v>
      </c>
      <c r="B13" s="234" t="s">
        <v>1197</v>
      </c>
      <c r="C13" s="241" t="s">
        <v>1198</v>
      </c>
      <c r="D13" s="240" t="s">
        <v>1199</v>
      </c>
      <c r="F13" s="250" t="s">
        <v>1326</v>
      </c>
      <c r="G13" s="250" t="s">
        <v>1327</v>
      </c>
    </row>
    <row r="14" spans="1:7" ht="18.75" x14ac:dyDescent="0.25">
      <c r="A14" s="220" t="s">
        <v>1200</v>
      </c>
      <c r="B14" s="234" t="s">
        <v>1201</v>
      </c>
      <c r="C14" s="241" t="s">
        <v>1202</v>
      </c>
      <c r="D14" s="240" t="s">
        <v>1203</v>
      </c>
      <c r="F14" s="21" t="s">
        <v>499</v>
      </c>
    </row>
    <row r="15" spans="1:7" ht="18.75" x14ac:dyDescent="0.25">
      <c r="A15" s="220" t="s">
        <v>1204</v>
      </c>
      <c r="B15" s="234" t="s">
        <v>1205</v>
      </c>
      <c r="C15" s="241" t="s">
        <v>1206</v>
      </c>
      <c r="D15" s="240" t="s">
        <v>1207</v>
      </c>
    </row>
    <row r="16" spans="1:7" ht="18.75" x14ac:dyDescent="0.25">
      <c r="A16" s="223" t="s">
        <v>1208</v>
      </c>
      <c r="B16" s="234" t="s">
        <v>1209</v>
      </c>
      <c r="C16" s="241" t="s">
        <v>1210</v>
      </c>
      <c r="D16" s="240" t="s">
        <v>1211</v>
      </c>
    </row>
    <row r="17" spans="1:4" ht="18.75" x14ac:dyDescent="0.25">
      <c r="A17" s="220" t="s">
        <v>1212</v>
      </c>
      <c r="B17" s="234" t="s">
        <v>1213</v>
      </c>
      <c r="C17" s="241" t="s">
        <v>1214</v>
      </c>
      <c r="D17" s="240" t="s">
        <v>1215</v>
      </c>
    </row>
    <row r="18" spans="1:4" ht="18.75" x14ac:dyDescent="0.25">
      <c r="A18" s="220" t="s">
        <v>1216</v>
      </c>
      <c r="B18" s="234" t="s">
        <v>811</v>
      </c>
      <c r="C18" s="241" t="s">
        <v>1217</v>
      </c>
      <c r="D18" s="240" t="s">
        <v>547</v>
      </c>
    </row>
    <row r="19" spans="1:4" x14ac:dyDescent="0.25">
      <c r="A19" s="220" t="s">
        <v>1218</v>
      </c>
      <c r="B19" s="217"/>
      <c r="C19" s="241">
        <v>0.57721599999999995</v>
      </c>
      <c r="D19" s="240">
        <v>0.57721599999999995</v>
      </c>
    </row>
    <row r="20" spans="1:4" ht="18.75" x14ac:dyDescent="0.25">
      <c r="A20" s="220" t="s">
        <v>1219</v>
      </c>
      <c r="B20" s="234" t="s">
        <v>838</v>
      </c>
      <c r="C20" s="241" t="s">
        <v>1220</v>
      </c>
      <c r="D20" s="240" t="s">
        <v>547</v>
      </c>
    </row>
    <row r="21" spans="1:4" x14ac:dyDescent="0.25">
      <c r="A21" s="220" t="s">
        <v>1221</v>
      </c>
      <c r="B21" s="218"/>
      <c r="C21" s="241">
        <v>7.2969999999999997E-3</v>
      </c>
      <c r="D21" s="240">
        <v>7.2969999999999997E-3</v>
      </c>
    </row>
    <row r="22" spans="1:4" ht="18.75" x14ac:dyDescent="0.25">
      <c r="A22" s="223" t="s">
        <v>1222</v>
      </c>
      <c r="B22" s="234" t="s">
        <v>1223</v>
      </c>
      <c r="C22" s="241" t="s">
        <v>1224</v>
      </c>
      <c r="D22" s="240" t="s">
        <v>1225</v>
      </c>
    </row>
    <row r="23" spans="1:4" ht="18.75" x14ac:dyDescent="0.25">
      <c r="A23" s="223" t="s">
        <v>1226</v>
      </c>
      <c r="B23" s="234" t="s">
        <v>850</v>
      </c>
      <c r="C23" s="241" t="s">
        <v>1227</v>
      </c>
      <c r="D23" s="240" t="s">
        <v>1228</v>
      </c>
    </row>
    <row r="24" spans="1:4" s="283" customFormat="1" ht="38.25" customHeight="1" x14ac:dyDescent="0.25">
      <c r="A24" s="237" t="s">
        <v>1229</v>
      </c>
      <c r="B24" s="236" t="s">
        <v>813</v>
      </c>
      <c r="C24" s="243" t="s">
        <v>1329</v>
      </c>
      <c r="D24" s="244" t="s">
        <v>1230</v>
      </c>
    </row>
    <row r="25" spans="1:4" ht="34.5" x14ac:dyDescent="0.25">
      <c r="A25" s="220" t="s">
        <v>1231</v>
      </c>
      <c r="B25" s="234" t="s">
        <v>839</v>
      </c>
      <c r="C25" s="241" t="s">
        <v>1232</v>
      </c>
      <c r="D25" s="240" t="s">
        <v>547</v>
      </c>
    </row>
    <row r="26" spans="1:4" ht="18.75" x14ac:dyDescent="0.25">
      <c r="A26" s="223" t="s">
        <v>1233</v>
      </c>
      <c r="B26" s="234" t="s">
        <v>1234</v>
      </c>
      <c r="C26" s="241" t="s">
        <v>1235</v>
      </c>
      <c r="D26" s="240" t="s">
        <v>1236</v>
      </c>
    </row>
    <row r="27" spans="1:4" ht="18.75" x14ac:dyDescent="0.25">
      <c r="A27" s="223" t="s">
        <v>1237</v>
      </c>
      <c r="B27" s="234" t="s">
        <v>1238</v>
      </c>
      <c r="C27" s="241" t="s">
        <v>1239</v>
      </c>
      <c r="D27" s="240" t="s">
        <v>1240</v>
      </c>
    </row>
    <row r="28" spans="1:4" ht="18.75" x14ac:dyDescent="0.25">
      <c r="A28" s="220" t="s">
        <v>1241</v>
      </c>
      <c r="B28" s="234" t="s">
        <v>1242</v>
      </c>
      <c r="C28" s="241" t="s">
        <v>1243</v>
      </c>
      <c r="D28" s="240" t="s">
        <v>1244</v>
      </c>
    </row>
    <row r="29" spans="1:4" x14ac:dyDescent="0.25">
      <c r="A29" s="223" t="s">
        <v>1245</v>
      </c>
      <c r="B29" s="234" t="s">
        <v>811</v>
      </c>
      <c r="C29" s="241">
        <v>2.7182819999999999</v>
      </c>
      <c r="D29" s="240">
        <v>2.7182819999999999</v>
      </c>
    </row>
    <row r="30" spans="1:4" ht="18.75" x14ac:dyDescent="0.25">
      <c r="A30" s="223" t="s">
        <v>1246</v>
      </c>
      <c r="B30" s="234" t="s">
        <v>1247</v>
      </c>
      <c r="C30" s="241" t="s">
        <v>559</v>
      </c>
      <c r="D30" s="240" t="s">
        <v>559</v>
      </c>
    </row>
    <row r="31" spans="1:4" ht="18.75" x14ac:dyDescent="0.25">
      <c r="A31" s="223" t="s">
        <v>1248</v>
      </c>
      <c r="B31" s="234" t="s">
        <v>1249</v>
      </c>
      <c r="C31" s="241" t="s">
        <v>1250</v>
      </c>
      <c r="D31" s="240" t="s">
        <v>1251</v>
      </c>
    </row>
    <row r="32" spans="1:4" ht="18.75" x14ac:dyDescent="0.25">
      <c r="A32" s="223" t="s">
        <v>1252</v>
      </c>
      <c r="B32" s="233" t="s">
        <v>1253</v>
      </c>
      <c r="C32" s="241" t="s">
        <v>1254</v>
      </c>
      <c r="D32" s="240" t="s">
        <v>1255</v>
      </c>
    </row>
    <row r="33" spans="1:4" ht="18.75" x14ac:dyDescent="0.25">
      <c r="A33" s="220" t="s">
        <v>1256</v>
      </c>
      <c r="B33" s="233" t="s">
        <v>1257</v>
      </c>
      <c r="C33" s="239" t="s">
        <v>1258</v>
      </c>
      <c r="D33" s="240" t="s">
        <v>1259</v>
      </c>
    </row>
    <row r="34" spans="1:4" ht="18.75" x14ac:dyDescent="0.25">
      <c r="A34" s="220" t="s">
        <v>1260</v>
      </c>
      <c r="B34" s="235" t="s">
        <v>821</v>
      </c>
      <c r="C34" s="241" t="s">
        <v>1261</v>
      </c>
      <c r="D34" s="240" t="s">
        <v>1262</v>
      </c>
    </row>
    <row r="35" spans="1:4" x14ac:dyDescent="0.25">
      <c r="A35" s="220" t="s">
        <v>1263</v>
      </c>
      <c r="B35" s="218"/>
      <c r="C35" s="241">
        <v>3.1415899999999999</v>
      </c>
      <c r="D35" s="240">
        <v>3.1415899999999999</v>
      </c>
    </row>
    <row r="36" spans="1:4" ht="18.75" x14ac:dyDescent="0.25">
      <c r="A36" s="220" t="s">
        <v>1264</v>
      </c>
      <c r="B36" s="234" t="s">
        <v>814</v>
      </c>
      <c r="C36" s="241" t="s">
        <v>1265</v>
      </c>
      <c r="D36" s="240" t="s">
        <v>1266</v>
      </c>
    </row>
    <row r="37" spans="1:4" ht="18.75" x14ac:dyDescent="0.25">
      <c r="A37" s="223" t="s">
        <v>1267</v>
      </c>
      <c r="B37" s="234" t="s">
        <v>1268</v>
      </c>
      <c r="C37" s="241" t="s">
        <v>1269</v>
      </c>
      <c r="D37" s="240" t="s">
        <v>1270</v>
      </c>
    </row>
    <row r="38" spans="1:4" ht="18.75" x14ac:dyDescent="0.25">
      <c r="A38" s="223" t="s">
        <v>1271</v>
      </c>
      <c r="B38" s="234" t="s">
        <v>1272</v>
      </c>
      <c r="C38" s="241" t="s">
        <v>1273</v>
      </c>
      <c r="D38" s="240" t="s">
        <v>1274</v>
      </c>
    </row>
    <row r="39" spans="1:4" ht="18.75" x14ac:dyDescent="0.25">
      <c r="A39" s="223" t="s">
        <v>1275</v>
      </c>
      <c r="B39" s="234" t="s">
        <v>1276</v>
      </c>
      <c r="C39" s="241" t="s">
        <v>1277</v>
      </c>
      <c r="D39" s="240" t="s">
        <v>1278</v>
      </c>
    </row>
    <row r="40" spans="1:4" ht="18.75" x14ac:dyDescent="0.25">
      <c r="A40" s="223" t="s">
        <v>1279</v>
      </c>
      <c r="B40" s="234" t="s">
        <v>1280</v>
      </c>
      <c r="C40" s="241" t="s">
        <v>1281</v>
      </c>
      <c r="D40" s="240" t="s">
        <v>1282</v>
      </c>
    </row>
    <row r="41" spans="1:4" ht="18.75" x14ac:dyDescent="0.25">
      <c r="A41" s="220" t="s">
        <v>1283</v>
      </c>
      <c r="B41" s="234" t="s">
        <v>809</v>
      </c>
      <c r="C41" s="241" t="s">
        <v>1284</v>
      </c>
      <c r="D41" s="240" t="s">
        <v>1285</v>
      </c>
    </row>
    <row r="42" spans="1:4" ht="18.75" x14ac:dyDescent="0.25">
      <c r="A42" s="220" t="s">
        <v>1286</v>
      </c>
      <c r="B42" s="234" t="s">
        <v>1287</v>
      </c>
      <c r="C42" s="241" t="s">
        <v>1288</v>
      </c>
      <c r="D42" s="240" t="s">
        <v>1289</v>
      </c>
    </row>
    <row r="43" spans="1:4" ht="34.5" x14ac:dyDescent="0.25">
      <c r="A43" s="220" t="s">
        <v>1290</v>
      </c>
      <c r="B43" s="218"/>
      <c r="C43" s="241" t="s">
        <v>1291</v>
      </c>
      <c r="D43" s="240" t="s">
        <v>547</v>
      </c>
    </row>
    <row r="44" spans="1:4" ht="18.75" x14ac:dyDescent="0.25">
      <c r="A44" s="223" t="s">
        <v>1292</v>
      </c>
      <c r="B44" s="234" t="s">
        <v>1293</v>
      </c>
      <c r="C44" s="241" t="s">
        <v>1294</v>
      </c>
      <c r="D44" s="240" t="s">
        <v>1295</v>
      </c>
    </row>
    <row r="45" spans="1:4" ht="18.75" x14ac:dyDescent="0.25">
      <c r="A45" s="223" t="s">
        <v>1296</v>
      </c>
      <c r="B45" s="234" t="s">
        <v>1297</v>
      </c>
      <c r="C45" s="241" t="s">
        <v>1298</v>
      </c>
      <c r="D45" s="240" t="s">
        <v>1299</v>
      </c>
    </row>
    <row r="46" spans="1:4" ht="18.75" x14ac:dyDescent="0.25">
      <c r="A46" s="224" t="s">
        <v>1300</v>
      </c>
      <c r="B46" s="238" t="s">
        <v>829</v>
      </c>
      <c r="C46" s="243" t="s">
        <v>1301</v>
      </c>
      <c r="D46" s="244" t="s">
        <v>1302</v>
      </c>
    </row>
  </sheetData>
  <mergeCells count="2">
    <mergeCell ref="A1:D1"/>
    <mergeCell ref="F1:G1"/>
  </mergeCells>
  <hyperlinks>
    <hyperlink ref="A3" r:id="rId1" display="http://whatis.techtarget.com/definition/astronomical-unit-AU"/>
    <hyperlink ref="C3" r:id="rId2" display="http://searchcio-midmarket.techtarget.com/definition/meter"/>
    <hyperlink ref="A4" r:id="rId3" display="http://whatis.techtarget.com/definition/atomic-mass-unit-AMU-or-amu"/>
    <hyperlink ref="A5" r:id="rId4" display="http://whatis.techtarget.com/definition/mole-per-meter-cubed-Avogadro-constant"/>
    <hyperlink ref="D6" r:id="rId5" display="http://whatis.techtarget.com/definition/gauss-G"/>
    <hyperlink ref="A7" r:id="rId6" display="http://whatis.techtarget.com/definition/Bohr-radius"/>
    <hyperlink ref="C7" r:id="rId7" display="http://searchcio-midmarket.techtarget.com/definition/meter"/>
    <hyperlink ref="A8" r:id="rId8" display="http://whatis.techtarget.com/definition/Boltzmanns-constant"/>
    <hyperlink ref="C8" r:id="rId9" display="http://whatis.techtarget.com/definition/kelvin-K"/>
    <hyperlink ref="D8" r:id="rId10" display="http://whatis.techtarget.com/definition/erg"/>
    <hyperlink ref="A14" r:id="rId11" display="http://searchcio-midmarket.techtarget.com/definition/Earths-mean-orbital-speed"/>
    <hyperlink ref="A15" r:id="rId12" display="http://searchcio-midmarket.techtarget.com/definition/Earths-mean-radius"/>
    <hyperlink ref="A17" r:id="rId13" display="http://whatis.techtarget.com/definition/electron-rest-mass"/>
    <hyperlink ref="A18" r:id="rId14" display="http://whatis.techtarget.com/definition/elementary-charge"/>
    <hyperlink ref="A19" r:id="rId15" display="http://whatis.techtarget.com/definition/Eulers-constant-gamma-or-the-Euler-Mascheroni-constant"/>
    <hyperlink ref="A20" r:id="rId16" display="http://whatis.techtarget.com/definition/Faraday-constant"/>
    <hyperlink ref="A21" r:id="rId17" display="http://whatis.techtarget.com/definition/fine-structure-constant"/>
    <hyperlink ref="A25" r:id="rId18" display="http://whatis.techtarget.com/definition/gravitational-constant"/>
    <hyperlink ref="A28" r:id="rId19" display="http://whatis.techtarget.com/definition/moons-mean-radius"/>
    <hyperlink ref="A33" r:id="rId20" display="http://whatis.techtarget.com/definition/permeability-of-free-space-a-vacuum"/>
    <hyperlink ref="C33" r:id="rId21" display="http://whatis.techtarget.com/definition/henry-H"/>
    <hyperlink ref="A34" r:id="rId22" display="http://searchcio-midmarket.techtarget.com/definition/permittivity-of-free-space"/>
    <hyperlink ref="A35" r:id="rId23" display="http://whatis.techtarget.com/definition/pi"/>
    <hyperlink ref="A36" r:id="rId24" display="http://searchcio-midmarket.techtarget.com/definition/Plancks-constant"/>
    <hyperlink ref="A41" r:id="rId25" display="http://whatis.techtarget.com/definition/speed-of-light"/>
    <hyperlink ref="A42" r:id="rId26" display="http://whatis.techtarget.com/definition/speed-of-sound"/>
    <hyperlink ref="A43" r:id="rId27" display="http://whatis.techtarget.com/definition/Stefan-Boltzmann-constant"/>
    <hyperlink ref="A46" r:id="rId28" display="http://whatis.techtarget.com/definition/Wiens-constant"/>
  </hyperlinks>
  <pageMargins left="0.7" right="0.7" top="0.75" bottom="0.75" header="0.3" footer="0.3"/>
  <drawing r:id="rId29"/>
  <tableParts count="1">
    <tablePart r:id="rId3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5"/>
  <sheetViews>
    <sheetView zoomScaleNormal="100" workbookViewId="0">
      <selection activeCell="A217" sqref="A217"/>
    </sheetView>
  </sheetViews>
  <sheetFormatPr defaultColWidth="11.7109375" defaultRowHeight="15.75" x14ac:dyDescent="0.25"/>
  <cols>
    <col min="1" max="1" width="12" style="201" customWidth="1"/>
    <col min="2" max="2" width="24.5703125" style="201" customWidth="1"/>
    <col min="3" max="3" width="10.7109375" style="202" bestFit="1" customWidth="1"/>
    <col min="4" max="4" width="71.28515625" style="201" customWidth="1"/>
    <col min="5" max="16384" width="11.7109375" style="200"/>
  </cols>
  <sheetData>
    <row r="1" spans="1:5" x14ac:dyDescent="0.25">
      <c r="A1" s="205" t="s">
        <v>744</v>
      </c>
      <c r="B1" s="206" t="s">
        <v>468</v>
      </c>
      <c r="C1" s="206" t="s">
        <v>1455</v>
      </c>
      <c r="D1" s="207" t="s">
        <v>743</v>
      </c>
    </row>
    <row r="2" spans="1:5" x14ac:dyDescent="0.25">
      <c r="A2" s="202" t="s">
        <v>1620</v>
      </c>
      <c r="B2" s="202" t="s">
        <v>1683</v>
      </c>
      <c r="C2" s="286"/>
      <c r="D2" s="202"/>
      <c r="E2" s="203"/>
    </row>
    <row r="3" spans="1:5" x14ac:dyDescent="0.25">
      <c r="A3" s="276" t="s">
        <v>1690</v>
      </c>
      <c r="B3" s="274" t="s">
        <v>1431</v>
      </c>
      <c r="C3" s="285"/>
      <c r="D3" s="202" t="s">
        <v>1432</v>
      </c>
      <c r="E3" s="203"/>
    </row>
    <row r="4" spans="1:5" ht="31.5" x14ac:dyDescent="0.25">
      <c r="A4" s="202" t="s">
        <v>833</v>
      </c>
      <c r="B4" s="202" t="s">
        <v>1684</v>
      </c>
      <c r="C4" s="286"/>
      <c r="D4" s="202"/>
      <c r="E4" s="203"/>
    </row>
    <row r="5" spans="1:5" x14ac:dyDescent="0.25">
      <c r="A5" s="304" t="s">
        <v>1891</v>
      </c>
      <c r="B5" s="202" t="s">
        <v>1892</v>
      </c>
      <c r="C5" s="286"/>
      <c r="D5" s="202"/>
      <c r="E5" s="203"/>
    </row>
    <row r="6" spans="1:5" ht="31.5" x14ac:dyDescent="0.25">
      <c r="A6" s="202" t="s">
        <v>1691</v>
      </c>
      <c r="B6" s="202" t="s">
        <v>1435</v>
      </c>
      <c r="C6" s="286"/>
      <c r="D6" s="202" t="s">
        <v>1436</v>
      </c>
      <c r="E6" s="203"/>
    </row>
    <row r="7" spans="1:5" x14ac:dyDescent="0.25">
      <c r="A7" s="202" t="s">
        <v>1692</v>
      </c>
      <c r="B7" s="202" t="s">
        <v>742</v>
      </c>
      <c r="C7" s="287"/>
      <c r="D7" s="202" t="s">
        <v>741</v>
      </c>
      <c r="E7" s="203"/>
    </row>
    <row r="8" spans="1:5" ht="31.5" x14ac:dyDescent="0.25">
      <c r="A8" s="202" t="s">
        <v>1693</v>
      </c>
      <c r="B8" s="202" t="s">
        <v>1437</v>
      </c>
      <c r="C8" s="286"/>
      <c r="D8" s="202"/>
      <c r="E8" s="203"/>
    </row>
    <row r="9" spans="1:5" x14ac:dyDescent="0.25">
      <c r="A9" s="202" t="s">
        <v>1694</v>
      </c>
      <c r="B9" s="202" t="s">
        <v>1438</v>
      </c>
      <c r="C9" s="286"/>
      <c r="D9" s="202"/>
      <c r="E9" s="203"/>
    </row>
    <row r="10" spans="1:5" ht="31.5" x14ac:dyDescent="0.25">
      <c r="A10" s="304" t="s">
        <v>1895</v>
      </c>
      <c r="B10" s="202" t="s">
        <v>1896</v>
      </c>
      <c r="C10" s="286"/>
      <c r="D10" s="202"/>
      <c r="E10" s="203"/>
    </row>
    <row r="11" spans="1:5" ht="31.5" x14ac:dyDescent="0.25">
      <c r="A11" s="304" t="s">
        <v>1893</v>
      </c>
      <c r="B11" s="202" t="s">
        <v>1894</v>
      </c>
      <c r="C11" s="286"/>
      <c r="D11" s="202"/>
      <c r="E11" s="203"/>
    </row>
    <row r="12" spans="1:5" x14ac:dyDescent="0.25">
      <c r="A12" s="304" t="s">
        <v>1901</v>
      </c>
      <c r="B12" s="202" t="s">
        <v>1902</v>
      </c>
      <c r="C12" s="286"/>
      <c r="D12" s="202"/>
      <c r="E12" s="203"/>
    </row>
    <row r="13" spans="1:5" ht="31.5" x14ac:dyDescent="0.25">
      <c r="A13" s="202" t="s">
        <v>1695</v>
      </c>
      <c r="B13" s="202" t="s">
        <v>1505</v>
      </c>
      <c r="C13" s="286"/>
      <c r="D13" s="202" t="s">
        <v>1506</v>
      </c>
      <c r="E13" s="203"/>
    </row>
    <row r="14" spans="1:5" x14ac:dyDescent="0.25">
      <c r="A14" s="202" t="s">
        <v>1696</v>
      </c>
      <c r="B14" s="202" t="s">
        <v>1412</v>
      </c>
      <c r="C14" s="286"/>
      <c r="D14" s="202"/>
      <c r="E14" s="203"/>
    </row>
    <row r="15" spans="1:5" ht="31.5" x14ac:dyDescent="0.25">
      <c r="A15" s="202" t="s">
        <v>1618</v>
      </c>
      <c r="B15" s="202" t="s">
        <v>1684</v>
      </c>
      <c r="C15" s="286"/>
      <c r="D15" s="202"/>
      <c r="E15" s="203"/>
    </row>
    <row r="16" spans="1:5" x14ac:dyDescent="0.25">
      <c r="A16" s="202" t="s">
        <v>1619</v>
      </c>
      <c r="B16" s="202" t="s">
        <v>1683</v>
      </c>
      <c r="C16" s="286"/>
      <c r="D16" s="202"/>
      <c r="E16" s="203"/>
    </row>
    <row r="17" spans="1:5" ht="31.5" x14ac:dyDescent="0.25">
      <c r="A17" s="275" t="s">
        <v>1664</v>
      </c>
      <c r="B17" s="202" t="s">
        <v>1685</v>
      </c>
      <c r="C17" s="286"/>
      <c r="D17" s="202"/>
      <c r="E17" s="203"/>
    </row>
    <row r="18" spans="1:5" ht="31.5" x14ac:dyDescent="0.25">
      <c r="A18" s="202" t="s">
        <v>1697</v>
      </c>
      <c r="B18" s="202" t="s">
        <v>740</v>
      </c>
      <c r="C18" s="286"/>
      <c r="D18" s="202" t="s">
        <v>739</v>
      </c>
      <c r="E18" s="203"/>
    </row>
    <row r="19" spans="1:5" ht="31.5" x14ac:dyDescent="0.25">
      <c r="A19" s="202" t="s">
        <v>1698</v>
      </c>
      <c r="B19" s="202" t="s">
        <v>1507</v>
      </c>
      <c r="C19" s="286"/>
      <c r="D19" s="202"/>
      <c r="E19" s="203"/>
    </row>
    <row r="20" spans="1:5" x14ac:dyDescent="0.25">
      <c r="A20" s="275" t="s">
        <v>1699</v>
      </c>
      <c r="B20" s="202" t="s">
        <v>1536</v>
      </c>
      <c r="C20" s="286"/>
      <c r="D20" s="202" t="s">
        <v>1537</v>
      </c>
      <c r="E20" s="203"/>
    </row>
    <row r="21" spans="1:5" ht="31.5" x14ac:dyDescent="0.25">
      <c r="A21" s="304" t="s">
        <v>1700</v>
      </c>
      <c r="B21" s="202" t="s">
        <v>1474</v>
      </c>
      <c r="C21" s="286"/>
      <c r="D21" s="202"/>
      <c r="E21" s="203"/>
    </row>
    <row r="22" spans="1:5" x14ac:dyDescent="0.25">
      <c r="A22" s="202" t="s">
        <v>1624</v>
      </c>
      <c r="B22" s="202" t="s">
        <v>1625</v>
      </c>
      <c r="C22" s="286"/>
      <c r="D22" s="202"/>
      <c r="E22" s="203"/>
    </row>
    <row r="23" spans="1:5" x14ac:dyDescent="0.25">
      <c r="A23" s="202" t="s">
        <v>1623</v>
      </c>
      <c r="B23" s="202"/>
      <c r="C23" s="286"/>
      <c r="D23" s="202"/>
      <c r="E23" s="203"/>
    </row>
    <row r="24" spans="1:5" x14ac:dyDescent="0.25">
      <c r="A24" s="304" t="s">
        <v>1701</v>
      </c>
      <c r="B24" s="202" t="s">
        <v>1475</v>
      </c>
      <c r="C24" s="286"/>
      <c r="D24" s="202"/>
      <c r="E24" s="203"/>
    </row>
    <row r="25" spans="1:5" ht="48.75" customHeight="1" x14ac:dyDescent="0.25">
      <c r="A25" s="202" t="s">
        <v>1702</v>
      </c>
      <c r="B25" s="202" t="s">
        <v>1413</v>
      </c>
      <c r="C25" s="286"/>
      <c r="D25" s="202"/>
      <c r="E25" s="203"/>
    </row>
    <row r="26" spans="1:5" ht="31.5" x14ac:dyDescent="0.25">
      <c r="A26" s="202" t="s">
        <v>1626</v>
      </c>
      <c r="B26" s="202" t="s">
        <v>1627</v>
      </c>
      <c r="C26" s="286"/>
      <c r="D26" s="202"/>
      <c r="E26" s="203"/>
    </row>
    <row r="27" spans="1:5" x14ac:dyDescent="0.25">
      <c r="A27" s="202" t="s">
        <v>1703</v>
      </c>
      <c r="B27" s="202" t="s">
        <v>1414</v>
      </c>
      <c r="C27" s="286"/>
      <c r="D27" s="202"/>
      <c r="E27" s="203"/>
    </row>
    <row r="28" spans="1:5" ht="47.25" x14ac:dyDescent="0.25">
      <c r="A28" s="202" t="s">
        <v>1704</v>
      </c>
      <c r="B28" s="202" t="s">
        <v>1508</v>
      </c>
      <c r="C28" s="286"/>
      <c r="D28" s="202" t="s">
        <v>1538</v>
      </c>
      <c r="E28" s="203"/>
    </row>
    <row r="29" spans="1:5" ht="31.5" x14ac:dyDescent="0.25">
      <c r="A29" s="202" t="s">
        <v>1705</v>
      </c>
      <c r="B29" s="202" t="s">
        <v>1415</v>
      </c>
      <c r="C29" s="286"/>
      <c r="D29" s="202"/>
      <c r="E29" s="203"/>
    </row>
    <row r="30" spans="1:5" x14ac:dyDescent="0.25">
      <c r="A30" s="202" t="s">
        <v>1706</v>
      </c>
      <c r="B30" s="202" t="s">
        <v>1509</v>
      </c>
      <c r="C30" s="286"/>
      <c r="D30" s="202" t="s">
        <v>1510</v>
      </c>
      <c r="E30" s="203"/>
    </row>
    <row r="31" spans="1:5" x14ac:dyDescent="0.25">
      <c r="A31" s="202" t="s">
        <v>1707</v>
      </c>
      <c r="B31" s="202" t="s">
        <v>1511</v>
      </c>
      <c r="C31" s="286"/>
      <c r="D31" s="202" t="s">
        <v>1512</v>
      </c>
      <c r="E31" s="203"/>
    </row>
    <row r="32" spans="1:5" x14ac:dyDescent="0.25">
      <c r="A32" s="202" t="s">
        <v>1603</v>
      </c>
      <c r="B32" s="202" t="s">
        <v>1604</v>
      </c>
      <c r="C32" s="286"/>
      <c r="D32" s="202" t="s">
        <v>1605</v>
      </c>
      <c r="E32" s="203"/>
    </row>
    <row r="33" spans="1:5" x14ac:dyDescent="0.25">
      <c r="A33" s="202" t="s">
        <v>1708</v>
      </c>
      <c r="B33" s="202" t="s">
        <v>1416</v>
      </c>
      <c r="C33" s="286"/>
      <c r="D33" s="202"/>
      <c r="E33" s="203"/>
    </row>
    <row r="34" spans="1:5" ht="63.75" customHeight="1" x14ac:dyDescent="0.25">
      <c r="A34" s="202" t="s">
        <v>1709</v>
      </c>
      <c r="B34" s="202" t="s">
        <v>1539</v>
      </c>
      <c r="C34" s="286"/>
      <c r="D34" s="202"/>
      <c r="E34" s="203"/>
    </row>
    <row r="35" spans="1:5" ht="110.25" x14ac:dyDescent="0.25">
      <c r="A35" s="275" t="s">
        <v>1710</v>
      </c>
      <c r="B35" s="202" t="s">
        <v>738</v>
      </c>
      <c r="C35" s="286"/>
      <c r="D35" s="202" t="s">
        <v>737</v>
      </c>
      <c r="E35" s="203"/>
    </row>
    <row r="36" spans="1:5" x14ac:dyDescent="0.25">
      <c r="A36" s="202" t="s">
        <v>1606</v>
      </c>
      <c r="B36" s="202" t="s">
        <v>1607</v>
      </c>
      <c r="C36" s="286"/>
      <c r="D36" s="202"/>
      <c r="E36" s="203"/>
    </row>
    <row r="37" spans="1:5" x14ac:dyDescent="0.25">
      <c r="A37" s="202" t="s">
        <v>1711</v>
      </c>
      <c r="B37" s="202" t="s">
        <v>736</v>
      </c>
      <c r="C37" s="286"/>
      <c r="D37" s="202" t="s">
        <v>735</v>
      </c>
      <c r="E37" s="203"/>
    </row>
    <row r="38" spans="1:5" x14ac:dyDescent="0.25">
      <c r="A38" s="202" t="s">
        <v>1712</v>
      </c>
      <c r="B38" s="202" t="s">
        <v>1476</v>
      </c>
      <c r="C38" s="286"/>
      <c r="D38" s="202"/>
      <c r="E38" s="203"/>
    </row>
    <row r="39" spans="1:5" ht="31.5" x14ac:dyDescent="0.25">
      <c r="A39" s="304" t="s">
        <v>1713</v>
      </c>
      <c r="B39" s="202" t="s">
        <v>1477</v>
      </c>
      <c r="C39" s="286"/>
      <c r="D39" s="202"/>
      <c r="E39" s="203"/>
    </row>
    <row r="40" spans="1:5" ht="63" x14ac:dyDescent="0.25">
      <c r="A40" s="202" t="s">
        <v>1628</v>
      </c>
      <c r="B40" s="202" t="s">
        <v>1629</v>
      </c>
      <c r="C40" s="286"/>
      <c r="D40" s="202" t="s">
        <v>1630</v>
      </c>
      <c r="E40" s="203"/>
    </row>
    <row r="41" spans="1:5" ht="31.5" x14ac:dyDescent="0.25">
      <c r="A41" s="202" t="s">
        <v>1714</v>
      </c>
      <c r="B41" s="202" t="s">
        <v>1417</v>
      </c>
      <c r="C41" s="286"/>
      <c r="D41" s="202"/>
      <c r="E41" s="203"/>
    </row>
    <row r="42" spans="1:5" x14ac:dyDescent="0.25">
      <c r="A42" s="202" t="s">
        <v>1715</v>
      </c>
      <c r="B42" s="202" t="s">
        <v>1478</v>
      </c>
      <c r="C42" s="286"/>
      <c r="D42" s="202"/>
      <c r="E42" s="203"/>
    </row>
    <row r="43" spans="1:5" x14ac:dyDescent="0.25">
      <c r="A43" s="202" t="s">
        <v>1716</v>
      </c>
      <c r="B43" s="202" t="s">
        <v>1418</v>
      </c>
      <c r="C43" s="286"/>
      <c r="D43" s="202" t="s">
        <v>1419</v>
      </c>
      <c r="E43" s="203"/>
    </row>
    <row r="44" spans="1:5" x14ac:dyDescent="0.25">
      <c r="A44" s="202" t="s">
        <v>1631</v>
      </c>
      <c r="B44" s="202" t="s">
        <v>1456</v>
      </c>
      <c r="C44" s="286" t="s">
        <v>268</v>
      </c>
      <c r="D44" s="202"/>
      <c r="E44" s="203"/>
    </row>
    <row r="45" spans="1:5" x14ac:dyDescent="0.25">
      <c r="A45" s="202" t="s">
        <v>1631</v>
      </c>
      <c r="B45" s="202" t="s">
        <v>1682</v>
      </c>
      <c r="C45" s="286"/>
      <c r="D45" s="202"/>
      <c r="E45" s="203"/>
    </row>
    <row r="46" spans="1:5" x14ac:dyDescent="0.25">
      <c r="A46" s="202" t="s">
        <v>1717</v>
      </c>
      <c r="B46" s="202" t="s">
        <v>1456</v>
      </c>
      <c r="C46" s="286" t="s">
        <v>268</v>
      </c>
      <c r="D46" s="202"/>
      <c r="E46" s="203"/>
    </row>
    <row r="47" spans="1:5" ht="31.5" x14ac:dyDescent="0.25">
      <c r="A47" s="202" t="s">
        <v>1718</v>
      </c>
      <c r="B47" s="202" t="s">
        <v>1472</v>
      </c>
      <c r="C47" s="286"/>
      <c r="D47" s="202" t="s">
        <v>745</v>
      </c>
      <c r="E47" s="203"/>
    </row>
    <row r="48" spans="1:5" x14ac:dyDescent="0.25">
      <c r="A48" s="202" t="s">
        <v>1719</v>
      </c>
      <c r="B48" s="202" t="s">
        <v>1457</v>
      </c>
      <c r="C48" s="286" t="s">
        <v>268</v>
      </c>
      <c r="D48" s="202"/>
      <c r="E48" s="203"/>
    </row>
    <row r="49" spans="1:5" ht="31.5" x14ac:dyDescent="0.25">
      <c r="A49" s="304" t="s">
        <v>1897</v>
      </c>
      <c r="B49" s="202" t="s">
        <v>1898</v>
      </c>
      <c r="C49" s="286"/>
      <c r="D49" s="202"/>
      <c r="E49" s="203"/>
    </row>
    <row r="50" spans="1:5" x14ac:dyDescent="0.25">
      <c r="A50" s="202" t="s">
        <v>1632</v>
      </c>
      <c r="B50" s="202" t="s">
        <v>1633</v>
      </c>
      <c r="C50" s="286"/>
      <c r="D50" s="202"/>
      <c r="E50" s="203"/>
    </row>
    <row r="51" spans="1:5" ht="78.75" x14ac:dyDescent="0.25">
      <c r="A51" s="202" t="s">
        <v>1720</v>
      </c>
      <c r="B51" s="202" t="s">
        <v>1503</v>
      </c>
      <c r="C51" s="286"/>
      <c r="D51" s="202" t="s">
        <v>1504</v>
      </c>
      <c r="E51" s="203"/>
    </row>
    <row r="52" spans="1:5" x14ac:dyDescent="0.25">
      <c r="A52" s="202" t="s">
        <v>1721</v>
      </c>
      <c r="B52" s="202" t="s">
        <v>658</v>
      </c>
      <c r="C52" s="286"/>
      <c r="D52" s="202" t="s">
        <v>657</v>
      </c>
      <c r="E52" s="203"/>
    </row>
    <row r="53" spans="1:5" ht="36" customHeight="1" x14ac:dyDescent="0.25">
      <c r="A53" s="202" t="s">
        <v>1634</v>
      </c>
      <c r="B53" s="202" t="s">
        <v>1636</v>
      </c>
      <c r="C53" s="286"/>
      <c r="D53" s="202"/>
      <c r="E53" s="203"/>
    </row>
    <row r="54" spans="1:5" x14ac:dyDescent="0.25">
      <c r="A54" s="202" t="s">
        <v>1635</v>
      </c>
      <c r="B54" s="202" t="s">
        <v>1636</v>
      </c>
      <c r="C54" s="286"/>
      <c r="D54" s="202"/>
      <c r="E54" s="203"/>
    </row>
    <row r="55" spans="1:5" x14ac:dyDescent="0.25">
      <c r="A55" s="202" t="s">
        <v>1722</v>
      </c>
      <c r="B55" s="202" t="s">
        <v>1513</v>
      </c>
      <c r="C55" s="286"/>
      <c r="D55" s="202" t="s">
        <v>1514</v>
      </c>
      <c r="E55" s="203"/>
    </row>
    <row r="56" spans="1:5" ht="31.5" x14ac:dyDescent="0.25">
      <c r="A56" s="304" t="s">
        <v>1899</v>
      </c>
      <c r="B56" s="202" t="s">
        <v>1900</v>
      </c>
      <c r="C56" s="286"/>
      <c r="D56" s="202"/>
      <c r="E56" s="203"/>
    </row>
    <row r="57" spans="1:5" ht="31.5" x14ac:dyDescent="0.25">
      <c r="A57" s="202" t="s">
        <v>1723</v>
      </c>
      <c r="B57" s="202" t="s">
        <v>1515</v>
      </c>
      <c r="C57" s="286"/>
      <c r="D57" s="202"/>
      <c r="E57" s="203"/>
    </row>
    <row r="58" spans="1:5" x14ac:dyDescent="0.25">
      <c r="A58" s="202" t="s">
        <v>1724</v>
      </c>
      <c r="B58" s="202" t="s">
        <v>1516</v>
      </c>
      <c r="C58" s="286"/>
      <c r="D58" s="202" t="s">
        <v>1517</v>
      </c>
      <c r="E58" s="203"/>
    </row>
    <row r="59" spans="1:5" ht="31.5" x14ac:dyDescent="0.25">
      <c r="A59" s="202" t="s">
        <v>1725</v>
      </c>
      <c r="B59" s="202" t="s">
        <v>1518</v>
      </c>
      <c r="C59" s="286"/>
      <c r="D59" s="202"/>
      <c r="E59" s="203"/>
    </row>
    <row r="60" spans="1:5" x14ac:dyDescent="0.25">
      <c r="A60" s="202" t="s">
        <v>814</v>
      </c>
      <c r="B60" s="202" t="s">
        <v>1608</v>
      </c>
      <c r="C60" s="286"/>
      <c r="D60" s="202" t="s">
        <v>1609</v>
      </c>
      <c r="E60" s="203"/>
    </row>
    <row r="61" spans="1:5" x14ac:dyDescent="0.25">
      <c r="A61" s="202" t="s">
        <v>1726</v>
      </c>
      <c r="B61" s="202" t="s">
        <v>1519</v>
      </c>
      <c r="C61" s="286"/>
      <c r="D61" s="202"/>
      <c r="E61" s="203"/>
    </row>
    <row r="62" spans="1:5" x14ac:dyDescent="0.25">
      <c r="A62" s="202" t="s">
        <v>1727</v>
      </c>
      <c r="B62" s="202" t="s">
        <v>734</v>
      </c>
      <c r="C62" s="286"/>
      <c r="D62" s="202" t="s">
        <v>733</v>
      </c>
      <c r="E62" s="203"/>
    </row>
    <row r="63" spans="1:5" x14ac:dyDescent="0.25">
      <c r="A63" s="275" t="s">
        <v>1637</v>
      </c>
      <c r="B63" s="202" t="s">
        <v>1638</v>
      </c>
      <c r="C63" s="286"/>
      <c r="D63" s="202"/>
      <c r="E63" s="203"/>
    </row>
    <row r="64" spans="1:5" x14ac:dyDescent="0.25">
      <c r="A64" s="202" t="s">
        <v>1728</v>
      </c>
      <c r="B64" s="202" t="s">
        <v>1520</v>
      </c>
      <c r="C64" s="286"/>
      <c r="D64" s="202"/>
      <c r="E64" s="203"/>
    </row>
    <row r="65" spans="1:5" ht="31.5" x14ac:dyDescent="0.25">
      <c r="A65" s="202" t="s">
        <v>1729</v>
      </c>
      <c r="B65" s="202" t="s">
        <v>1521</v>
      </c>
      <c r="C65" s="286"/>
      <c r="D65" s="202" t="s">
        <v>1522</v>
      </c>
      <c r="E65" s="203"/>
    </row>
    <row r="66" spans="1:5" ht="47.25" x14ac:dyDescent="0.25">
      <c r="A66" s="202" t="s">
        <v>1639</v>
      </c>
      <c r="B66" s="202" t="s">
        <v>1640</v>
      </c>
      <c r="C66" s="286"/>
      <c r="D66" s="202" t="s">
        <v>1641</v>
      </c>
      <c r="E66" s="203"/>
    </row>
    <row r="67" spans="1:5" x14ac:dyDescent="0.25">
      <c r="A67" s="202" t="s">
        <v>1730</v>
      </c>
      <c r="B67" s="202"/>
      <c r="C67" s="286"/>
      <c r="D67" s="202" t="s">
        <v>1433</v>
      </c>
      <c r="E67" s="203"/>
    </row>
    <row r="68" spans="1:5" x14ac:dyDescent="0.25">
      <c r="A68" s="202" t="s">
        <v>1731</v>
      </c>
      <c r="B68" s="202"/>
      <c r="C68" s="286"/>
      <c r="D68" s="202" t="s">
        <v>1434</v>
      </c>
      <c r="E68" s="203"/>
    </row>
    <row r="69" spans="1:5" x14ac:dyDescent="0.25">
      <c r="A69" s="304" t="s">
        <v>1732</v>
      </c>
      <c r="B69" s="202" t="s">
        <v>1479</v>
      </c>
      <c r="C69" s="286"/>
      <c r="D69" s="202"/>
      <c r="E69" s="203"/>
    </row>
    <row r="70" spans="1:5" x14ac:dyDescent="0.25">
      <c r="A70" s="202" t="s">
        <v>1642</v>
      </c>
      <c r="B70" s="202" t="s">
        <v>1644</v>
      </c>
      <c r="C70" s="286"/>
      <c r="D70" s="202" t="s">
        <v>1645</v>
      </c>
      <c r="E70" s="203"/>
    </row>
    <row r="71" spans="1:5" x14ac:dyDescent="0.25">
      <c r="A71" s="202" t="s">
        <v>1643</v>
      </c>
      <c r="B71" s="202" t="s">
        <v>1687</v>
      </c>
      <c r="C71" s="286"/>
      <c r="D71" s="202" t="s">
        <v>1645</v>
      </c>
      <c r="E71" s="203"/>
    </row>
    <row r="72" spans="1:5" ht="47.25" x14ac:dyDescent="0.25">
      <c r="A72" s="202" t="s">
        <v>1733</v>
      </c>
      <c r="B72" s="202" t="s">
        <v>1560</v>
      </c>
      <c r="C72" s="286"/>
      <c r="D72" s="202" t="s">
        <v>1561</v>
      </c>
      <c r="E72" s="203"/>
    </row>
    <row r="73" spans="1:5" ht="31.5" x14ac:dyDescent="0.25">
      <c r="A73" s="202" t="s">
        <v>1734</v>
      </c>
      <c r="B73" s="202" t="s">
        <v>732</v>
      </c>
      <c r="C73" s="286"/>
      <c r="D73" s="202" t="s">
        <v>731</v>
      </c>
      <c r="E73" s="203"/>
    </row>
    <row r="74" spans="1:5" x14ac:dyDescent="0.25">
      <c r="A74" s="202" t="s">
        <v>1735</v>
      </c>
      <c r="B74" s="202" t="s">
        <v>1420</v>
      </c>
      <c r="C74" s="286"/>
      <c r="D74" s="202"/>
      <c r="E74" s="203"/>
    </row>
    <row r="75" spans="1:5" ht="31.5" x14ac:dyDescent="0.25">
      <c r="A75" s="202" t="s">
        <v>1736</v>
      </c>
      <c r="B75" s="202" t="s">
        <v>1421</v>
      </c>
      <c r="C75" s="286"/>
      <c r="D75" s="202"/>
      <c r="E75" s="203"/>
    </row>
    <row r="76" spans="1:5" x14ac:dyDescent="0.25">
      <c r="A76" s="202" t="s">
        <v>1737</v>
      </c>
      <c r="B76" s="202" t="s">
        <v>1422</v>
      </c>
      <c r="C76" s="286"/>
      <c r="D76" s="202"/>
    </row>
    <row r="77" spans="1:5" x14ac:dyDescent="0.25">
      <c r="A77" s="202" t="s">
        <v>1738</v>
      </c>
      <c r="B77" s="202" t="s">
        <v>671</v>
      </c>
      <c r="C77" s="286"/>
      <c r="D77" s="202" t="s">
        <v>670</v>
      </c>
    </row>
    <row r="78" spans="1:5" ht="31.5" x14ac:dyDescent="0.25">
      <c r="A78" s="202" t="s">
        <v>1610</v>
      </c>
      <c r="B78" s="202" t="s">
        <v>1523</v>
      </c>
      <c r="C78" s="286"/>
      <c r="D78" s="202" t="s">
        <v>1524</v>
      </c>
    </row>
    <row r="79" spans="1:5" ht="31.5" x14ac:dyDescent="0.25">
      <c r="A79" s="202" t="s">
        <v>1739</v>
      </c>
      <c r="B79" s="202" t="s">
        <v>1540</v>
      </c>
      <c r="C79" s="286"/>
      <c r="D79" s="202" t="s">
        <v>1569</v>
      </c>
    </row>
    <row r="80" spans="1:5" x14ac:dyDescent="0.25">
      <c r="A80" s="202" t="s">
        <v>1740</v>
      </c>
      <c r="B80" s="202" t="s">
        <v>1541</v>
      </c>
      <c r="C80" s="286"/>
      <c r="D80" s="202"/>
    </row>
    <row r="81" spans="1:4" ht="31.5" x14ac:dyDescent="0.25">
      <c r="A81" s="275" t="s">
        <v>1741</v>
      </c>
      <c r="B81" s="202" t="s">
        <v>730</v>
      </c>
      <c r="C81" s="286"/>
      <c r="D81" s="202" t="s">
        <v>729</v>
      </c>
    </row>
    <row r="82" spans="1:4" ht="78.75" x14ac:dyDescent="0.25">
      <c r="A82" s="202" t="s">
        <v>1742</v>
      </c>
      <c r="B82" s="202" t="s">
        <v>728</v>
      </c>
      <c r="C82" s="286"/>
      <c r="D82" s="202" t="s">
        <v>746</v>
      </c>
    </row>
    <row r="83" spans="1:4" x14ac:dyDescent="0.25">
      <c r="A83" s="202" t="s">
        <v>1743</v>
      </c>
      <c r="B83" s="202" t="s">
        <v>1542</v>
      </c>
      <c r="C83" s="286"/>
      <c r="D83" s="202"/>
    </row>
    <row r="84" spans="1:4" ht="31.5" x14ac:dyDescent="0.25">
      <c r="A84" s="202" t="s">
        <v>1676</v>
      </c>
      <c r="B84" s="202" t="s">
        <v>1689</v>
      </c>
      <c r="C84" s="286"/>
      <c r="D84" s="202" t="s">
        <v>1677</v>
      </c>
    </row>
    <row r="85" spans="1:4" ht="31.5" x14ac:dyDescent="0.25">
      <c r="A85" s="202" t="s">
        <v>1744</v>
      </c>
      <c r="B85" s="202" t="s">
        <v>727</v>
      </c>
      <c r="C85" s="286"/>
      <c r="D85" s="202" t="s">
        <v>726</v>
      </c>
    </row>
    <row r="86" spans="1:4" ht="47.25" x14ac:dyDescent="0.25">
      <c r="A86" s="202" t="s">
        <v>1745</v>
      </c>
      <c r="B86" s="202" t="s">
        <v>1562</v>
      </c>
      <c r="C86" s="286"/>
      <c r="D86" s="202" t="s">
        <v>1563</v>
      </c>
    </row>
    <row r="87" spans="1:4" x14ac:dyDescent="0.25">
      <c r="A87" s="304" t="s">
        <v>1746</v>
      </c>
      <c r="B87" s="202" t="s">
        <v>1480</v>
      </c>
      <c r="C87" s="286"/>
      <c r="D87" s="202"/>
    </row>
    <row r="88" spans="1:4" ht="31.5" x14ac:dyDescent="0.25">
      <c r="A88" s="202" t="s">
        <v>1747</v>
      </c>
      <c r="B88" s="202" t="s">
        <v>1439</v>
      </c>
      <c r="C88" s="286"/>
      <c r="D88" s="202"/>
    </row>
    <row r="89" spans="1:4" x14ac:dyDescent="0.25">
      <c r="A89" s="202" t="s">
        <v>1748</v>
      </c>
      <c r="B89" s="202" t="s">
        <v>1440</v>
      </c>
      <c r="C89" s="286"/>
      <c r="D89" s="202"/>
    </row>
    <row r="90" spans="1:4" ht="31.5" x14ac:dyDescent="0.25">
      <c r="A90" s="204" t="s">
        <v>1749</v>
      </c>
      <c r="B90" s="204" t="s">
        <v>1441</v>
      </c>
      <c r="C90" s="288"/>
      <c r="D90" s="204"/>
    </row>
    <row r="91" spans="1:4" ht="31.5" x14ac:dyDescent="0.25">
      <c r="A91" s="204" t="s">
        <v>1750</v>
      </c>
      <c r="B91" s="204" t="s">
        <v>1442</v>
      </c>
      <c r="C91" s="288"/>
      <c r="D91" s="204"/>
    </row>
    <row r="92" spans="1:4" ht="31.5" x14ac:dyDescent="0.25">
      <c r="A92" s="202" t="s">
        <v>1751</v>
      </c>
      <c r="B92" s="202" t="s">
        <v>1443</v>
      </c>
      <c r="C92" s="286"/>
      <c r="D92" s="202"/>
    </row>
    <row r="93" spans="1:4" ht="31.5" x14ac:dyDescent="0.25">
      <c r="A93" s="275" t="s">
        <v>1752</v>
      </c>
      <c r="B93" s="204" t="s">
        <v>1444</v>
      </c>
      <c r="C93" s="288"/>
      <c r="D93" s="204"/>
    </row>
    <row r="94" spans="1:4" ht="31.5" x14ac:dyDescent="0.25">
      <c r="A94" s="275" t="s">
        <v>1753</v>
      </c>
      <c r="B94" s="202" t="s">
        <v>1445</v>
      </c>
      <c r="C94" s="286"/>
      <c r="D94" s="202"/>
    </row>
    <row r="95" spans="1:4" ht="31.5" x14ac:dyDescent="0.25">
      <c r="A95" s="202" t="s">
        <v>1754</v>
      </c>
      <c r="B95" s="202" t="s">
        <v>1446</v>
      </c>
      <c r="C95" s="286"/>
      <c r="D95" s="202"/>
    </row>
    <row r="96" spans="1:4" x14ac:dyDescent="0.25">
      <c r="A96" s="202" t="s">
        <v>1755</v>
      </c>
      <c r="B96" s="202" t="s">
        <v>1423</v>
      </c>
      <c r="C96" s="286"/>
      <c r="D96" s="202"/>
    </row>
    <row r="97" spans="1:4" ht="31.5" x14ac:dyDescent="0.25">
      <c r="A97" s="202" t="s">
        <v>1756</v>
      </c>
      <c r="B97" s="202" t="s">
        <v>1447</v>
      </c>
      <c r="C97" s="286"/>
      <c r="D97" s="202"/>
    </row>
    <row r="98" spans="1:4" ht="31.5" x14ac:dyDescent="0.25">
      <c r="A98" s="202" t="s">
        <v>1757</v>
      </c>
      <c r="B98" s="202" t="s">
        <v>1448</v>
      </c>
      <c r="C98" s="286"/>
      <c r="D98" s="202"/>
    </row>
    <row r="99" spans="1:4" x14ac:dyDescent="0.25">
      <c r="A99" s="304" t="s">
        <v>1758</v>
      </c>
      <c r="B99" s="202" t="s">
        <v>1481</v>
      </c>
      <c r="C99" s="286"/>
      <c r="D99" s="202"/>
    </row>
    <row r="100" spans="1:4" ht="31.5" x14ac:dyDescent="0.25">
      <c r="A100" s="304" t="s">
        <v>1759</v>
      </c>
      <c r="B100" s="202" t="s">
        <v>1482</v>
      </c>
      <c r="C100" s="286"/>
      <c r="D100" s="202"/>
    </row>
    <row r="101" spans="1:4" x14ac:dyDescent="0.25">
      <c r="A101" s="202" t="s">
        <v>1760</v>
      </c>
      <c r="B101" s="202" t="s">
        <v>1424</v>
      </c>
      <c r="C101" s="286"/>
      <c r="D101" s="202"/>
    </row>
    <row r="102" spans="1:4" ht="31.5" x14ac:dyDescent="0.25">
      <c r="A102" s="202" t="s">
        <v>1761</v>
      </c>
      <c r="B102" s="202" t="s">
        <v>1449</v>
      </c>
      <c r="C102" s="286"/>
      <c r="D102" s="202"/>
    </row>
    <row r="103" spans="1:4" x14ac:dyDescent="0.25">
      <c r="A103" s="275" t="s">
        <v>1762</v>
      </c>
      <c r="B103" s="202" t="s">
        <v>1450</v>
      </c>
      <c r="C103" s="286"/>
      <c r="D103" s="202"/>
    </row>
    <row r="104" spans="1:4" ht="31.5" x14ac:dyDescent="0.25">
      <c r="A104" s="202" t="s">
        <v>1763</v>
      </c>
      <c r="B104" s="202" t="s">
        <v>1451</v>
      </c>
      <c r="C104" s="286"/>
      <c r="D104" s="202"/>
    </row>
    <row r="105" spans="1:4" x14ac:dyDescent="0.25">
      <c r="A105" s="202" t="s">
        <v>1764</v>
      </c>
      <c r="B105" s="202" t="s">
        <v>1452</v>
      </c>
      <c r="C105" s="286"/>
      <c r="D105" s="202"/>
    </row>
    <row r="106" spans="1:4" ht="31.5" x14ac:dyDescent="0.25">
      <c r="A106" s="202" t="s">
        <v>1765</v>
      </c>
      <c r="B106" s="202" t="s">
        <v>1453</v>
      </c>
      <c r="C106" s="286"/>
      <c r="D106" s="202"/>
    </row>
    <row r="107" spans="1:4" ht="31.5" x14ac:dyDescent="0.25">
      <c r="A107" s="202" t="s">
        <v>1766</v>
      </c>
      <c r="B107" s="202" t="s">
        <v>1454</v>
      </c>
      <c r="C107" s="286"/>
      <c r="D107" s="202"/>
    </row>
    <row r="108" spans="1:4" ht="31.5" x14ac:dyDescent="0.25">
      <c r="A108" s="202" t="s">
        <v>1646</v>
      </c>
      <c r="B108" s="202" t="s">
        <v>1647</v>
      </c>
      <c r="C108" s="286"/>
      <c r="D108" s="202" t="s">
        <v>1681</v>
      </c>
    </row>
    <row r="109" spans="1:4" ht="31.5" x14ac:dyDescent="0.25">
      <c r="A109" s="304" t="s">
        <v>1767</v>
      </c>
      <c r="B109" s="202" t="s">
        <v>1483</v>
      </c>
      <c r="C109" s="286"/>
      <c r="D109" s="202"/>
    </row>
    <row r="110" spans="1:4" ht="31.5" x14ac:dyDescent="0.25">
      <c r="A110" s="202" t="s">
        <v>1768</v>
      </c>
      <c r="B110" s="202" t="s">
        <v>725</v>
      </c>
      <c r="C110" s="286"/>
      <c r="D110" s="202"/>
    </row>
    <row r="111" spans="1:4" x14ac:dyDescent="0.25">
      <c r="A111" s="202" t="s">
        <v>1769</v>
      </c>
      <c r="B111" s="202" t="s">
        <v>724</v>
      </c>
      <c r="C111" s="286"/>
      <c r="D111" s="202" t="s">
        <v>675</v>
      </c>
    </row>
    <row r="112" spans="1:4" x14ac:dyDescent="0.25">
      <c r="A112" s="304" t="s">
        <v>1903</v>
      </c>
      <c r="B112" s="202" t="s">
        <v>1904</v>
      </c>
      <c r="C112" s="286"/>
      <c r="D112" s="202"/>
    </row>
    <row r="113" spans="1:4" x14ac:dyDescent="0.25">
      <c r="A113" s="304" t="s">
        <v>1905</v>
      </c>
      <c r="B113" s="202" t="s">
        <v>1906</v>
      </c>
      <c r="C113" s="286"/>
      <c r="D113" s="202"/>
    </row>
    <row r="114" spans="1:4" x14ac:dyDescent="0.25">
      <c r="A114" s="306" t="s">
        <v>1907</v>
      </c>
      <c r="B114" s="204" t="s">
        <v>1908</v>
      </c>
      <c r="C114" s="288"/>
      <c r="D114" s="204"/>
    </row>
    <row r="115" spans="1:4" x14ac:dyDescent="0.25">
      <c r="A115" s="202" t="s">
        <v>1611</v>
      </c>
      <c r="B115" s="202" t="s">
        <v>1612</v>
      </c>
      <c r="C115" s="286"/>
      <c r="D115" s="202" t="s">
        <v>1613</v>
      </c>
    </row>
    <row r="116" spans="1:4" ht="31.5" x14ac:dyDescent="0.25">
      <c r="A116" s="202" t="s">
        <v>1770</v>
      </c>
      <c r="B116" s="202" t="s">
        <v>1525</v>
      </c>
      <c r="C116" s="286"/>
      <c r="D116" s="202" t="s">
        <v>1526</v>
      </c>
    </row>
    <row r="117" spans="1:4" ht="47.25" x14ac:dyDescent="0.25">
      <c r="A117" s="202" t="s">
        <v>1614</v>
      </c>
      <c r="B117" s="202" t="s">
        <v>1484</v>
      </c>
      <c r="C117" s="286"/>
      <c r="D117" s="250" t="s">
        <v>1485</v>
      </c>
    </row>
    <row r="118" spans="1:4" x14ac:dyDescent="0.25">
      <c r="A118" s="275" t="s">
        <v>1614</v>
      </c>
      <c r="B118" s="202" t="s">
        <v>1612</v>
      </c>
      <c r="C118" s="286"/>
      <c r="D118" s="202" t="s">
        <v>1615</v>
      </c>
    </row>
    <row r="119" spans="1:4" ht="78.75" x14ac:dyDescent="0.25">
      <c r="A119" s="275" t="s">
        <v>1771</v>
      </c>
      <c r="B119" s="202" t="s">
        <v>1543</v>
      </c>
      <c r="C119" s="286"/>
      <c r="D119" s="202" t="s">
        <v>1544</v>
      </c>
    </row>
    <row r="120" spans="1:4" ht="31.5" x14ac:dyDescent="0.25">
      <c r="A120" s="275" t="s">
        <v>1772</v>
      </c>
      <c r="B120" s="202" t="s">
        <v>723</v>
      </c>
      <c r="C120" s="286"/>
      <c r="D120" s="202" t="s">
        <v>722</v>
      </c>
    </row>
    <row r="121" spans="1:4" ht="47.25" x14ac:dyDescent="0.25">
      <c r="A121" s="202" t="s">
        <v>1773</v>
      </c>
      <c r="B121" s="202" t="s">
        <v>721</v>
      </c>
      <c r="C121" s="286"/>
      <c r="D121" s="202" t="s">
        <v>720</v>
      </c>
    </row>
    <row r="122" spans="1:4" x14ac:dyDescent="0.25">
      <c r="A122" s="275" t="s">
        <v>1774</v>
      </c>
      <c r="B122" s="204" t="s">
        <v>1527</v>
      </c>
      <c r="C122" s="288"/>
      <c r="D122" s="204" t="s">
        <v>1528</v>
      </c>
    </row>
    <row r="123" spans="1:4" ht="31.5" x14ac:dyDescent="0.25">
      <c r="A123" s="275" t="s">
        <v>1775</v>
      </c>
      <c r="B123" s="202" t="s">
        <v>719</v>
      </c>
      <c r="C123" s="286"/>
      <c r="D123" s="202" t="s">
        <v>718</v>
      </c>
    </row>
    <row r="124" spans="1:4" ht="31.5" x14ac:dyDescent="0.25">
      <c r="A124" s="275" t="s">
        <v>1776</v>
      </c>
      <c r="B124" s="202" t="s">
        <v>717</v>
      </c>
      <c r="C124" s="286"/>
      <c r="D124" s="202"/>
    </row>
    <row r="125" spans="1:4" ht="47.25" x14ac:dyDescent="0.25">
      <c r="A125" s="275" t="s">
        <v>1648</v>
      </c>
      <c r="B125" s="202" t="s">
        <v>1649</v>
      </c>
      <c r="C125" s="286"/>
      <c r="D125" s="202" t="s">
        <v>1650</v>
      </c>
    </row>
    <row r="126" spans="1:4" ht="31.5" x14ac:dyDescent="0.25">
      <c r="A126" s="275" t="s">
        <v>1777</v>
      </c>
      <c r="B126" s="202" t="s">
        <v>716</v>
      </c>
      <c r="C126" s="286"/>
      <c r="D126" s="202"/>
    </row>
    <row r="127" spans="1:4" ht="31.5" x14ac:dyDescent="0.25">
      <c r="A127" s="306" t="s">
        <v>1778</v>
      </c>
      <c r="B127" s="202" t="s">
        <v>1486</v>
      </c>
      <c r="C127" s="288"/>
      <c r="D127" s="204"/>
    </row>
    <row r="128" spans="1:4" ht="31.5" x14ac:dyDescent="0.25">
      <c r="A128" s="304" t="s">
        <v>1779</v>
      </c>
      <c r="B128" s="202" t="s">
        <v>1487</v>
      </c>
      <c r="C128" s="286"/>
      <c r="D128" s="202"/>
    </row>
    <row r="129" spans="1:4" x14ac:dyDescent="0.25">
      <c r="A129" s="307" t="s">
        <v>1780</v>
      </c>
      <c r="B129" s="278" t="s">
        <v>1488</v>
      </c>
      <c r="C129" s="289"/>
      <c r="D129" s="278"/>
    </row>
    <row r="130" spans="1:4" x14ac:dyDescent="0.25">
      <c r="A130" s="277" t="s">
        <v>1781</v>
      </c>
      <c r="B130" s="278" t="s">
        <v>715</v>
      </c>
      <c r="C130" s="289"/>
      <c r="D130" s="278" t="s">
        <v>714</v>
      </c>
    </row>
    <row r="131" spans="1:4" ht="124.5" customHeight="1" x14ac:dyDescent="0.25">
      <c r="A131" s="307" t="s">
        <v>1782</v>
      </c>
      <c r="B131" s="278" t="s">
        <v>1489</v>
      </c>
      <c r="C131" s="289"/>
      <c r="D131" s="278"/>
    </row>
    <row r="132" spans="1:4" x14ac:dyDescent="0.25">
      <c r="A132" s="305" t="s">
        <v>1783</v>
      </c>
      <c r="B132" s="281" t="s">
        <v>1490</v>
      </c>
      <c r="C132" s="290"/>
      <c r="D132" s="281"/>
    </row>
    <row r="133" spans="1:4" x14ac:dyDescent="0.25">
      <c r="A133" s="21" t="s">
        <v>1784</v>
      </c>
      <c r="B133" s="278" t="s">
        <v>1491</v>
      </c>
      <c r="C133" s="289"/>
      <c r="D133" s="278"/>
    </row>
    <row r="134" spans="1:4" x14ac:dyDescent="0.25">
      <c r="A134" s="307" t="s">
        <v>1785</v>
      </c>
      <c r="B134" s="278" t="s">
        <v>1492</v>
      </c>
      <c r="C134" s="289"/>
      <c r="D134" s="278"/>
    </row>
    <row r="135" spans="1:4" ht="31.5" x14ac:dyDescent="0.25">
      <c r="A135" s="307" t="s">
        <v>1786</v>
      </c>
      <c r="B135" s="278" t="s">
        <v>1493</v>
      </c>
      <c r="C135" s="289"/>
      <c r="D135" s="278"/>
    </row>
    <row r="136" spans="1:4" ht="31.5" x14ac:dyDescent="0.25">
      <c r="A136" s="277" t="s">
        <v>1651</v>
      </c>
      <c r="B136" s="278" t="s">
        <v>1652</v>
      </c>
      <c r="C136" s="289"/>
      <c r="D136" s="278" t="s">
        <v>1494</v>
      </c>
    </row>
    <row r="137" spans="1:4" ht="31.5" x14ac:dyDescent="0.25">
      <c r="A137" s="277" t="s">
        <v>1787</v>
      </c>
      <c r="B137" s="278"/>
      <c r="C137" s="289"/>
      <c r="D137" s="278" t="s">
        <v>713</v>
      </c>
    </row>
    <row r="138" spans="1:4" x14ac:dyDescent="0.25">
      <c r="A138" s="280" t="s">
        <v>1788</v>
      </c>
      <c r="B138" s="281" t="s">
        <v>750</v>
      </c>
      <c r="C138" s="290"/>
      <c r="D138" s="275"/>
    </row>
    <row r="139" spans="1:4" x14ac:dyDescent="0.25">
      <c r="A139" s="277" t="s">
        <v>1789</v>
      </c>
      <c r="B139" s="278" t="s">
        <v>712</v>
      </c>
      <c r="C139" s="289"/>
      <c r="D139" s="278" t="s">
        <v>711</v>
      </c>
    </row>
    <row r="140" spans="1:4" x14ac:dyDescent="0.25">
      <c r="A140" s="307" t="s">
        <v>1913</v>
      </c>
      <c r="B140" s="278" t="s">
        <v>1914</v>
      </c>
      <c r="C140" s="289"/>
      <c r="D140" s="278"/>
    </row>
    <row r="141" spans="1:4" x14ac:dyDescent="0.25">
      <c r="A141" s="277" t="s">
        <v>1790</v>
      </c>
      <c r="B141" s="278" t="s">
        <v>1495</v>
      </c>
      <c r="C141" s="289"/>
      <c r="D141" s="278"/>
    </row>
    <row r="142" spans="1:4" x14ac:dyDescent="0.25">
      <c r="A142" s="307" t="s">
        <v>1909</v>
      </c>
      <c r="B142" s="278" t="s">
        <v>1910</v>
      </c>
      <c r="C142" s="289"/>
      <c r="D142" s="278"/>
    </row>
    <row r="143" spans="1:4" x14ac:dyDescent="0.25">
      <c r="A143" s="277" t="s">
        <v>1791</v>
      </c>
      <c r="B143" s="278" t="s">
        <v>1575</v>
      </c>
      <c r="C143" s="289"/>
      <c r="D143" s="278"/>
    </row>
    <row r="144" spans="1:4" x14ac:dyDescent="0.25">
      <c r="A144" s="307" t="s">
        <v>1792</v>
      </c>
      <c r="B144" s="278" t="s">
        <v>1496</v>
      </c>
      <c r="C144" s="289"/>
      <c r="D144" s="278"/>
    </row>
    <row r="145" spans="1:4" ht="31.5" x14ac:dyDescent="0.25">
      <c r="A145" s="277" t="s">
        <v>1793</v>
      </c>
      <c r="B145" s="278" t="s">
        <v>1469</v>
      </c>
      <c r="C145" s="289" t="s">
        <v>846</v>
      </c>
      <c r="D145" s="278" t="s">
        <v>1471</v>
      </c>
    </row>
    <row r="146" spans="1:4" ht="31.5" x14ac:dyDescent="0.25">
      <c r="A146" s="280" t="s">
        <v>1794</v>
      </c>
      <c r="B146" s="281" t="s">
        <v>1425</v>
      </c>
      <c r="C146" s="290"/>
      <c r="D146" s="281"/>
    </row>
    <row r="147" spans="1:4" x14ac:dyDescent="0.25">
      <c r="A147" s="307" t="s">
        <v>1911</v>
      </c>
      <c r="B147" s="278" t="s">
        <v>1912</v>
      </c>
      <c r="C147" s="289"/>
      <c r="D147" s="278"/>
    </row>
    <row r="148" spans="1:4" ht="31.5" x14ac:dyDescent="0.25">
      <c r="A148" s="277" t="s">
        <v>1795</v>
      </c>
      <c r="B148" s="278" t="s">
        <v>1426</v>
      </c>
      <c r="C148" s="289"/>
      <c r="D148" s="278"/>
    </row>
    <row r="149" spans="1:4" ht="31.5" x14ac:dyDescent="0.25">
      <c r="A149" s="277" t="s">
        <v>1796</v>
      </c>
      <c r="B149" s="278" t="s">
        <v>1570</v>
      </c>
      <c r="C149" s="289"/>
      <c r="D149" s="278" t="s">
        <v>749</v>
      </c>
    </row>
    <row r="150" spans="1:4" x14ac:dyDescent="0.25">
      <c r="A150" s="277" t="s">
        <v>1797</v>
      </c>
      <c r="B150" s="278" t="s">
        <v>710</v>
      </c>
      <c r="C150" s="289"/>
      <c r="D150" s="278"/>
    </row>
    <row r="151" spans="1:4" ht="126" x14ac:dyDescent="0.25">
      <c r="A151" s="277" t="s">
        <v>1653</v>
      </c>
      <c r="B151" s="278" t="s">
        <v>1573</v>
      </c>
      <c r="C151" s="289"/>
      <c r="D151" s="278" t="s">
        <v>1574</v>
      </c>
    </row>
    <row r="152" spans="1:4" ht="47.25" x14ac:dyDescent="0.25">
      <c r="A152" s="277" t="s">
        <v>1798</v>
      </c>
      <c r="B152" s="278" t="s">
        <v>709</v>
      </c>
      <c r="C152" s="289"/>
      <c r="D152" s="278" t="s">
        <v>708</v>
      </c>
    </row>
    <row r="153" spans="1:4" x14ac:dyDescent="0.25">
      <c r="A153" s="280" t="s">
        <v>1799</v>
      </c>
      <c r="B153" s="281" t="s">
        <v>1497</v>
      </c>
      <c r="C153" s="290"/>
      <c r="D153" s="281" t="s">
        <v>1498</v>
      </c>
    </row>
    <row r="154" spans="1:4" x14ac:dyDescent="0.25">
      <c r="A154" s="277" t="s">
        <v>1800</v>
      </c>
      <c r="B154" s="278" t="s">
        <v>707</v>
      </c>
      <c r="C154" s="289"/>
      <c r="D154" s="278" t="s">
        <v>706</v>
      </c>
    </row>
    <row r="155" spans="1:4" ht="31.5" x14ac:dyDescent="0.25">
      <c r="A155" s="277" t="s">
        <v>1801</v>
      </c>
      <c r="B155" s="278" t="s">
        <v>1545</v>
      </c>
      <c r="C155" s="289"/>
      <c r="D155" s="278"/>
    </row>
    <row r="156" spans="1:4" ht="31.5" x14ac:dyDescent="0.25">
      <c r="A156" s="280" t="s">
        <v>1802</v>
      </c>
      <c r="B156" s="281" t="s">
        <v>705</v>
      </c>
      <c r="C156" s="290"/>
      <c r="D156" s="281" t="s">
        <v>704</v>
      </c>
    </row>
    <row r="157" spans="1:4" x14ac:dyDescent="0.25">
      <c r="A157" s="280" t="s">
        <v>1654</v>
      </c>
      <c r="B157" s="281" t="s">
        <v>1655</v>
      </c>
      <c r="C157" s="290"/>
      <c r="D157" s="281"/>
    </row>
    <row r="158" spans="1:4" x14ac:dyDescent="0.25">
      <c r="A158" s="277" t="s">
        <v>1656</v>
      </c>
      <c r="B158" s="278" t="s">
        <v>1657</v>
      </c>
      <c r="C158" s="289"/>
      <c r="D158" s="278"/>
    </row>
    <row r="159" spans="1:4" ht="31.5" x14ac:dyDescent="0.25">
      <c r="A159" s="277" t="s">
        <v>1803</v>
      </c>
      <c r="B159" s="278" t="s">
        <v>1470</v>
      </c>
      <c r="C159" s="289" t="s">
        <v>268</v>
      </c>
      <c r="D159" s="278" t="s">
        <v>1458</v>
      </c>
    </row>
    <row r="160" spans="1:4" ht="94.5" x14ac:dyDescent="0.25">
      <c r="A160" s="277" t="s">
        <v>1804</v>
      </c>
      <c r="B160" s="278" t="s">
        <v>703</v>
      </c>
      <c r="C160" s="289"/>
      <c r="D160" s="278" t="s">
        <v>747</v>
      </c>
    </row>
    <row r="161" spans="1:4" ht="31.5" x14ac:dyDescent="0.25">
      <c r="A161" s="277" t="s">
        <v>1805</v>
      </c>
      <c r="B161" s="278" t="s">
        <v>1529</v>
      </c>
      <c r="C161" s="289"/>
      <c r="D161" s="278" t="s">
        <v>1530</v>
      </c>
    </row>
    <row r="162" spans="1:4" ht="63" x14ac:dyDescent="0.25">
      <c r="A162" s="277" t="s">
        <v>1806</v>
      </c>
      <c r="B162" s="278" t="s">
        <v>702</v>
      </c>
      <c r="C162" s="289"/>
      <c r="D162" s="278" t="s">
        <v>701</v>
      </c>
    </row>
    <row r="163" spans="1:4" x14ac:dyDescent="0.25">
      <c r="A163" s="277" t="s">
        <v>1807</v>
      </c>
      <c r="B163" s="278" t="s">
        <v>1546</v>
      </c>
      <c r="C163" s="289"/>
      <c r="D163" s="278"/>
    </row>
    <row r="164" spans="1:4" x14ac:dyDescent="0.25">
      <c r="A164" s="277" t="s">
        <v>1808</v>
      </c>
      <c r="B164" s="278" t="s">
        <v>1531</v>
      </c>
      <c r="C164" s="289"/>
      <c r="D164" s="278"/>
    </row>
    <row r="165" spans="1:4" x14ac:dyDescent="0.25">
      <c r="A165" s="277" t="s">
        <v>1658</v>
      </c>
      <c r="B165" s="278" t="s">
        <v>1638</v>
      </c>
      <c r="C165" s="289"/>
      <c r="D165" s="278"/>
    </row>
    <row r="166" spans="1:4" x14ac:dyDescent="0.25">
      <c r="A166" s="277" t="s">
        <v>1809</v>
      </c>
      <c r="B166" s="278" t="s">
        <v>1459</v>
      </c>
      <c r="C166" s="289" t="s">
        <v>268</v>
      </c>
      <c r="D166" s="278"/>
    </row>
    <row r="167" spans="1:4" x14ac:dyDescent="0.25">
      <c r="A167" s="277" t="s">
        <v>1810</v>
      </c>
      <c r="B167" s="278" t="s">
        <v>1459</v>
      </c>
      <c r="C167" s="289" t="s">
        <v>268</v>
      </c>
      <c r="D167" s="278"/>
    </row>
    <row r="168" spans="1:4" x14ac:dyDescent="0.25">
      <c r="A168" s="277" t="s">
        <v>1811</v>
      </c>
      <c r="B168" s="278" t="s">
        <v>1459</v>
      </c>
      <c r="C168" s="289" t="s">
        <v>268</v>
      </c>
      <c r="D168" s="278"/>
    </row>
    <row r="169" spans="1:4" x14ac:dyDescent="0.25">
      <c r="A169" s="277" t="s">
        <v>1812</v>
      </c>
      <c r="B169" s="278" t="s">
        <v>1460</v>
      </c>
      <c r="C169" s="289" t="s">
        <v>268</v>
      </c>
      <c r="D169" s="278"/>
    </row>
    <row r="170" spans="1:4" ht="31.5" x14ac:dyDescent="0.25">
      <c r="A170" s="277" t="s">
        <v>1813</v>
      </c>
      <c r="B170" s="278" t="s">
        <v>1461</v>
      </c>
      <c r="C170" s="289" t="s">
        <v>268</v>
      </c>
      <c r="D170" s="278"/>
    </row>
    <row r="171" spans="1:4" x14ac:dyDescent="0.25">
      <c r="A171" s="277" t="s">
        <v>1814</v>
      </c>
      <c r="B171" s="278" t="s">
        <v>1460</v>
      </c>
      <c r="C171" s="289" t="s">
        <v>846</v>
      </c>
      <c r="D171" s="278"/>
    </row>
    <row r="172" spans="1:4" x14ac:dyDescent="0.25">
      <c r="A172" s="277" t="s">
        <v>1815</v>
      </c>
      <c r="B172" s="278" t="s">
        <v>1499</v>
      </c>
      <c r="C172" s="289"/>
      <c r="D172" s="278"/>
    </row>
    <row r="173" spans="1:4" x14ac:dyDescent="0.25">
      <c r="A173" s="277" t="s">
        <v>1816</v>
      </c>
      <c r="B173" s="278" t="s">
        <v>1547</v>
      </c>
      <c r="C173" s="289"/>
      <c r="D173" s="278"/>
    </row>
    <row r="174" spans="1:4" ht="47.25" x14ac:dyDescent="0.25">
      <c r="A174" s="277" t="s">
        <v>1659</v>
      </c>
      <c r="B174" s="278" t="s">
        <v>1660</v>
      </c>
      <c r="C174" s="289"/>
      <c r="D174" s="278" t="s">
        <v>1661</v>
      </c>
    </row>
    <row r="175" spans="1:4" ht="47.25" x14ac:dyDescent="0.25">
      <c r="A175" s="277" t="s">
        <v>1817</v>
      </c>
      <c r="B175" s="278" t="s">
        <v>1548</v>
      </c>
      <c r="C175" s="289"/>
      <c r="D175" s="278" t="s">
        <v>1549</v>
      </c>
    </row>
    <row r="176" spans="1:4" ht="63" x14ac:dyDescent="0.25">
      <c r="A176" s="277" t="s">
        <v>1818</v>
      </c>
      <c r="B176" s="278" t="s">
        <v>1571</v>
      </c>
      <c r="C176" s="289"/>
      <c r="D176" s="278" t="s">
        <v>1572</v>
      </c>
    </row>
    <row r="177" spans="1:4" x14ac:dyDescent="0.25">
      <c r="A177" s="280" t="s">
        <v>1819</v>
      </c>
      <c r="B177" s="281" t="s">
        <v>700</v>
      </c>
      <c r="C177" s="290"/>
      <c r="D177" s="281" t="s">
        <v>699</v>
      </c>
    </row>
    <row r="178" spans="1:4" ht="31.5" x14ac:dyDescent="0.25">
      <c r="A178" s="277" t="s">
        <v>1820</v>
      </c>
      <c r="B178" s="278" t="s">
        <v>698</v>
      </c>
      <c r="C178" s="289"/>
      <c r="D178" s="278" t="s">
        <v>695</v>
      </c>
    </row>
    <row r="179" spans="1:4" ht="31.5" x14ac:dyDescent="0.25">
      <c r="A179" s="277" t="s">
        <v>1821</v>
      </c>
      <c r="B179" s="278"/>
      <c r="C179" s="289"/>
      <c r="D179" s="278" t="s">
        <v>697</v>
      </c>
    </row>
    <row r="180" spans="1:4" ht="31.5" x14ac:dyDescent="0.25">
      <c r="A180" s="277" t="s">
        <v>1822</v>
      </c>
      <c r="B180" s="278" t="s">
        <v>696</v>
      </c>
      <c r="C180" s="289"/>
      <c r="D180" s="278" t="s">
        <v>695</v>
      </c>
    </row>
    <row r="181" spans="1:4" ht="31.5" x14ac:dyDescent="0.25">
      <c r="A181" s="277" t="s">
        <v>1823</v>
      </c>
      <c r="B181" s="278" t="s">
        <v>694</v>
      </c>
      <c r="C181" s="289"/>
      <c r="D181" s="278" t="s">
        <v>693</v>
      </c>
    </row>
    <row r="182" spans="1:4" ht="31.5" x14ac:dyDescent="0.25">
      <c r="A182" s="277" t="s">
        <v>1824</v>
      </c>
      <c r="B182" s="278" t="s">
        <v>692</v>
      </c>
      <c r="C182" s="289"/>
      <c r="D182" s="278" t="s">
        <v>691</v>
      </c>
    </row>
    <row r="183" spans="1:4" ht="63" x14ac:dyDescent="0.25">
      <c r="A183" s="277" t="s">
        <v>1825</v>
      </c>
      <c r="B183" s="278" t="s">
        <v>690</v>
      </c>
      <c r="C183" s="289"/>
      <c r="D183" s="278" t="s">
        <v>748</v>
      </c>
    </row>
    <row r="184" spans="1:4" ht="31.5" x14ac:dyDescent="0.25">
      <c r="A184" s="277" t="s">
        <v>1826</v>
      </c>
      <c r="B184" s="278" t="s">
        <v>689</v>
      </c>
      <c r="C184" s="289"/>
      <c r="D184" s="278" t="s">
        <v>688</v>
      </c>
    </row>
    <row r="185" spans="1:4" x14ac:dyDescent="0.25">
      <c r="A185" s="277" t="s">
        <v>1827</v>
      </c>
      <c r="B185" s="278" t="s">
        <v>687</v>
      </c>
      <c r="C185" s="289"/>
      <c r="D185" s="278" t="s">
        <v>686</v>
      </c>
    </row>
    <row r="186" spans="1:4" ht="31.5" x14ac:dyDescent="0.25">
      <c r="A186" s="277" t="s">
        <v>1828</v>
      </c>
      <c r="B186" s="278" t="s">
        <v>685</v>
      </c>
      <c r="C186" s="289"/>
      <c r="D186" s="278" t="s">
        <v>684</v>
      </c>
    </row>
    <row r="187" spans="1:4" ht="31.5" x14ac:dyDescent="0.25">
      <c r="A187" s="277" t="s">
        <v>1829</v>
      </c>
      <c r="B187" s="278" t="s">
        <v>683</v>
      </c>
      <c r="C187" s="289"/>
      <c r="D187" s="278"/>
    </row>
    <row r="188" spans="1:4" ht="31.5" x14ac:dyDescent="0.25">
      <c r="A188" s="277" t="s">
        <v>1830</v>
      </c>
      <c r="B188" s="278" t="s">
        <v>682</v>
      </c>
      <c r="C188" s="289"/>
      <c r="D188" s="278"/>
    </row>
    <row r="189" spans="1:4" ht="31.5" x14ac:dyDescent="0.25">
      <c r="A189" s="277" t="s">
        <v>1831</v>
      </c>
      <c r="B189" s="278" t="s">
        <v>681</v>
      </c>
      <c r="C189" s="289"/>
      <c r="D189" s="278"/>
    </row>
    <row r="190" spans="1:4" ht="31.5" x14ac:dyDescent="0.25">
      <c r="A190" s="275" t="s">
        <v>1832</v>
      </c>
      <c r="B190" s="278" t="s">
        <v>680</v>
      </c>
      <c r="C190" s="289"/>
      <c r="D190" s="278"/>
    </row>
    <row r="191" spans="1:4" ht="47.25" x14ac:dyDescent="0.25">
      <c r="A191" s="277" t="s">
        <v>1833</v>
      </c>
      <c r="B191" s="278" t="s">
        <v>1473</v>
      </c>
      <c r="C191" s="289"/>
      <c r="D191" s="278"/>
    </row>
    <row r="192" spans="1:4" ht="78.75" x14ac:dyDescent="0.25">
      <c r="A192" s="277" t="s">
        <v>1834</v>
      </c>
      <c r="B192" s="278" t="s">
        <v>679</v>
      </c>
      <c r="C192" s="289"/>
      <c r="D192" s="278" t="s">
        <v>678</v>
      </c>
    </row>
    <row r="193" spans="1:4" ht="31.5" x14ac:dyDescent="0.25">
      <c r="A193" s="277" t="s">
        <v>1835</v>
      </c>
      <c r="B193" s="278" t="s">
        <v>677</v>
      </c>
      <c r="C193" s="289"/>
      <c r="D193" s="278"/>
    </row>
    <row r="194" spans="1:4" x14ac:dyDescent="0.25">
      <c r="A194" s="277" t="s">
        <v>1836</v>
      </c>
      <c r="B194" s="278" t="s">
        <v>676</v>
      </c>
      <c r="C194" s="289"/>
      <c r="D194" s="278" t="s">
        <v>675</v>
      </c>
    </row>
    <row r="195" spans="1:4" ht="31.5" x14ac:dyDescent="0.25">
      <c r="A195" s="277" t="s">
        <v>1837</v>
      </c>
      <c r="B195" s="278" t="s">
        <v>674</v>
      </c>
      <c r="C195" s="289"/>
      <c r="D195" s="278"/>
    </row>
    <row r="196" spans="1:4" x14ac:dyDescent="0.25">
      <c r="A196" s="280" t="s">
        <v>1838</v>
      </c>
      <c r="B196" s="281" t="s">
        <v>671</v>
      </c>
      <c r="C196" s="290"/>
      <c r="D196" s="281" t="s">
        <v>670</v>
      </c>
    </row>
    <row r="197" spans="1:4" ht="31.5" x14ac:dyDescent="0.25">
      <c r="A197" s="277" t="s">
        <v>1839</v>
      </c>
      <c r="B197" s="278" t="s">
        <v>673</v>
      </c>
      <c r="C197" s="289"/>
      <c r="D197" s="278" t="s">
        <v>672</v>
      </c>
    </row>
    <row r="198" spans="1:4" ht="78.75" x14ac:dyDescent="0.25">
      <c r="A198" s="277" t="s">
        <v>1621</v>
      </c>
      <c r="B198" s="278" t="s">
        <v>1683</v>
      </c>
      <c r="C198" s="289"/>
      <c r="D198" s="278" t="s">
        <v>1622</v>
      </c>
    </row>
    <row r="199" spans="1:4" ht="47.25" x14ac:dyDescent="0.25">
      <c r="A199" s="277" t="s">
        <v>1840</v>
      </c>
      <c r="B199" s="278" t="s">
        <v>1427</v>
      </c>
      <c r="C199" s="289"/>
      <c r="D199" s="278" t="s">
        <v>1428</v>
      </c>
    </row>
    <row r="200" spans="1:4" x14ac:dyDescent="0.25">
      <c r="A200" s="277" t="s">
        <v>1662</v>
      </c>
      <c r="B200" s="278" t="s">
        <v>1663</v>
      </c>
      <c r="C200" s="289"/>
      <c r="D200" s="278"/>
    </row>
    <row r="201" spans="1:4" x14ac:dyDescent="0.25">
      <c r="A201" s="277" t="s">
        <v>1841</v>
      </c>
      <c r="B201" s="278" t="s">
        <v>671</v>
      </c>
      <c r="C201" s="289"/>
      <c r="D201" s="278" t="s">
        <v>670</v>
      </c>
    </row>
    <row r="202" spans="1:4" ht="31.5" x14ac:dyDescent="0.25">
      <c r="A202" s="305" t="s">
        <v>1842</v>
      </c>
      <c r="B202" s="281" t="s">
        <v>1500</v>
      </c>
      <c r="C202" s="290"/>
      <c r="D202" s="281"/>
    </row>
    <row r="203" spans="1:4" x14ac:dyDescent="0.25">
      <c r="A203" s="279" t="s">
        <v>1843</v>
      </c>
      <c r="B203" s="279" t="s">
        <v>669</v>
      </c>
      <c r="C203" s="287"/>
      <c r="D203" s="279" t="s">
        <v>668</v>
      </c>
    </row>
    <row r="204" spans="1:4" x14ac:dyDescent="0.25">
      <c r="A204" s="282" t="s">
        <v>1844</v>
      </c>
      <c r="B204" s="282" t="s">
        <v>1501</v>
      </c>
      <c r="C204" s="291"/>
      <c r="D204" s="282"/>
    </row>
    <row r="205" spans="1:4" ht="31.5" x14ac:dyDescent="0.25">
      <c r="A205" s="279" t="s">
        <v>851</v>
      </c>
      <c r="B205" s="279" t="s">
        <v>1685</v>
      </c>
      <c r="C205" s="287"/>
      <c r="D205" s="279"/>
    </row>
    <row r="206" spans="1:4" ht="31.5" x14ac:dyDescent="0.25">
      <c r="A206" s="279" t="s">
        <v>1845</v>
      </c>
      <c r="B206" s="279" t="s">
        <v>1564</v>
      </c>
      <c r="C206" s="287"/>
      <c r="D206" s="279" t="s">
        <v>1565</v>
      </c>
    </row>
    <row r="207" spans="1:4" x14ac:dyDescent="0.25">
      <c r="A207" s="279" t="s">
        <v>1846</v>
      </c>
      <c r="B207" s="279" t="s">
        <v>1532</v>
      </c>
      <c r="C207" s="287"/>
      <c r="D207" s="279" t="s">
        <v>1533</v>
      </c>
    </row>
    <row r="208" spans="1:4" ht="31.5" x14ac:dyDescent="0.25">
      <c r="A208" s="279" t="s">
        <v>1847</v>
      </c>
      <c r="B208" s="279" t="s">
        <v>1550</v>
      </c>
      <c r="C208" s="287"/>
      <c r="D208" s="279"/>
    </row>
    <row r="209" spans="1:4" ht="31.5" x14ac:dyDescent="0.25">
      <c r="A209" s="279" t="s">
        <v>1848</v>
      </c>
      <c r="B209" s="279" t="s">
        <v>667</v>
      </c>
      <c r="C209" s="287"/>
      <c r="D209" s="279"/>
    </row>
    <row r="210" spans="1:4" x14ac:dyDescent="0.25">
      <c r="A210" s="275" t="s">
        <v>1849</v>
      </c>
      <c r="B210" s="279" t="s">
        <v>666</v>
      </c>
      <c r="C210" s="287"/>
      <c r="D210" s="279"/>
    </row>
    <row r="211" spans="1:4" ht="31.5" x14ac:dyDescent="0.25">
      <c r="A211" s="282" t="s">
        <v>1850</v>
      </c>
      <c r="B211" s="282" t="s">
        <v>1566</v>
      </c>
      <c r="C211" s="291"/>
      <c r="D211" s="282"/>
    </row>
    <row r="212" spans="1:4" x14ac:dyDescent="0.25">
      <c r="A212" s="282" t="s">
        <v>1851</v>
      </c>
      <c r="B212" s="282" t="s">
        <v>1551</v>
      </c>
      <c r="C212" s="291"/>
      <c r="D212" s="282"/>
    </row>
    <row r="213" spans="1:4" x14ac:dyDescent="0.25">
      <c r="A213" s="282" t="s">
        <v>1852</v>
      </c>
      <c r="B213" s="282"/>
      <c r="C213" s="291" t="s">
        <v>268</v>
      </c>
      <c r="D213" s="282"/>
    </row>
    <row r="214" spans="1:4" x14ac:dyDescent="0.25">
      <c r="A214" s="308" t="s">
        <v>1915</v>
      </c>
      <c r="B214" s="282" t="s">
        <v>1916</v>
      </c>
      <c r="C214" s="291"/>
      <c r="D214" s="282"/>
    </row>
    <row r="215" spans="1:4" ht="31.5" x14ac:dyDescent="0.25">
      <c r="A215" s="279" t="s">
        <v>1853</v>
      </c>
      <c r="B215" s="279" t="s">
        <v>665</v>
      </c>
      <c r="C215" s="287"/>
      <c r="D215" s="279" t="s">
        <v>664</v>
      </c>
    </row>
    <row r="216" spans="1:4" x14ac:dyDescent="0.25">
      <c r="A216" s="279" t="s">
        <v>1854</v>
      </c>
      <c r="B216" s="279" t="s">
        <v>663</v>
      </c>
      <c r="C216" s="287"/>
      <c r="D216" s="279" t="s">
        <v>662</v>
      </c>
    </row>
    <row r="217" spans="1:4" x14ac:dyDescent="0.25">
      <c r="A217" s="297" t="s">
        <v>1917</v>
      </c>
      <c r="B217" s="279" t="s">
        <v>1918</v>
      </c>
      <c r="C217" s="287"/>
      <c r="D217" s="279"/>
    </row>
    <row r="218" spans="1:4" ht="47.25" x14ac:dyDescent="0.25">
      <c r="A218" s="279" t="s">
        <v>1665</v>
      </c>
      <c r="B218" s="279" t="s">
        <v>1666</v>
      </c>
      <c r="C218" s="287"/>
      <c r="D218" s="279" t="s">
        <v>1667</v>
      </c>
    </row>
    <row r="219" spans="1:4" x14ac:dyDescent="0.25">
      <c r="A219" s="279" t="s">
        <v>1855</v>
      </c>
      <c r="B219" s="279" t="s">
        <v>1429</v>
      </c>
      <c r="C219" s="287"/>
      <c r="D219" s="279"/>
    </row>
    <row r="220" spans="1:4" x14ac:dyDescent="0.25">
      <c r="A220" s="297" t="s">
        <v>1919</v>
      </c>
      <c r="B220" s="279" t="s">
        <v>1920</v>
      </c>
      <c r="C220" s="287"/>
      <c r="D220" s="279"/>
    </row>
    <row r="221" spans="1:4" x14ac:dyDescent="0.25">
      <c r="A221" s="279" t="s">
        <v>1856</v>
      </c>
      <c r="B221" s="279" t="s">
        <v>661</v>
      </c>
      <c r="C221" s="287"/>
      <c r="D221" s="279"/>
    </row>
    <row r="222" spans="1:4" ht="31.5" x14ac:dyDescent="0.25">
      <c r="A222" s="282" t="s">
        <v>1857</v>
      </c>
      <c r="B222" s="282" t="s">
        <v>660</v>
      </c>
      <c r="C222" s="291"/>
      <c r="D222" s="282"/>
    </row>
    <row r="223" spans="1:4" x14ac:dyDescent="0.25">
      <c r="A223" s="282" t="s">
        <v>1668</v>
      </c>
      <c r="B223" s="282" t="s">
        <v>1669</v>
      </c>
      <c r="C223" s="291"/>
      <c r="D223" s="282"/>
    </row>
    <row r="224" spans="1:4" ht="31.5" x14ac:dyDescent="0.25">
      <c r="A224" s="279" t="s">
        <v>1858</v>
      </c>
      <c r="B224" s="279" t="s">
        <v>659</v>
      </c>
      <c r="C224" s="287"/>
      <c r="D224" s="279"/>
    </row>
    <row r="225" spans="1:4" ht="31.5" x14ac:dyDescent="0.25">
      <c r="A225" s="308" t="s">
        <v>1859</v>
      </c>
      <c r="B225" s="282" t="s">
        <v>1502</v>
      </c>
      <c r="C225" s="291"/>
      <c r="D225" s="282"/>
    </row>
    <row r="226" spans="1:4" ht="31.5" x14ac:dyDescent="0.25">
      <c r="A226" s="279" t="s">
        <v>1860</v>
      </c>
      <c r="B226" s="279" t="s">
        <v>1567</v>
      </c>
      <c r="C226" s="287"/>
      <c r="D226" s="279"/>
    </row>
    <row r="227" spans="1:4" x14ac:dyDescent="0.25">
      <c r="A227" s="279" t="s">
        <v>1861</v>
      </c>
      <c r="B227" s="279" t="s">
        <v>1552</v>
      </c>
      <c r="C227" s="287"/>
      <c r="D227" s="279" t="s">
        <v>1553</v>
      </c>
    </row>
    <row r="228" spans="1:4" ht="31.5" x14ac:dyDescent="0.25">
      <c r="A228" s="279" t="s">
        <v>1862</v>
      </c>
      <c r="B228" s="279" t="s">
        <v>1554</v>
      </c>
      <c r="C228" s="287"/>
      <c r="D228" s="279" t="s">
        <v>1555</v>
      </c>
    </row>
    <row r="229" spans="1:4" x14ac:dyDescent="0.25">
      <c r="A229" s="279" t="s">
        <v>1863</v>
      </c>
      <c r="B229" s="279" t="s">
        <v>1534</v>
      </c>
      <c r="C229" s="287"/>
      <c r="D229" s="279"/>
    </row>
    <row r="230" spans="1:4" x14ac:dyDescent="0.25">
      <c r="A230" s="279" t="s">
        <v>1864</v>
      </c>
      <c r="B230" s="279" t="s">
        <v>658</v>
      </c>
      <c r="C230" s="287"/>
      <c r="D230" s="279" t="s">
        <v>657</v>
      </c>
    </row>
    <row r="231" spans="1:4" ht="47.25" x14ac:dyDescent="0.25">
      <c r="A231" s="279" t="s">
        <v>1865</v>
      </c>
      <c r="B231" s="279" t="s">
        <v>1535</v>
      </c>
      <c r="C231" s="287"/>
      <c r="D231" s="279"/>
    </row>
    <row r="232" spans="1:4" ht="31.5" x14ac:dyDescent="0.25">
      <c r="A232" s="279" t="s">
        <v>1866</v>
      </c>
      <c r="B232" s="279" t="s">
        <v>1462</v>
      </c>
      <c r="C232" s="287" t="s">
        <v>268</v>
      </c>
      <c r="D232" s="279"/>
    </row>
    <row r="233" spans="1:4" ht="31.5" x14ac:dyDescent="0.25">
      <c r="A233" s="279" t="s">
        <v>1670</v>
      </c>
      <c r="B233" s="279" t="s">
        <v>1686</v>
      </c>
      <c r="C233" s="287"/>
      <c r="D233" s="279" t="s">
        <v>1672</v>
      </c>
    </row>
    <row r="234" spans="1:4" ht="47.25" x14ac:dyDescent="0.25">
      <c r="A234" s="279" t="s">
        <v>1671</v>
      </c>
      <c r="B234" s="279" t="s">
        <v>1688</v>
      </c>
      <c r="C234" s="287"/>
      <c r="D234" s="279" t="s">
        <v>1672</v>
      </c>
    </row>
    <row r="235" spans="1:4" x14ac:dyDescent="0.25">
      <c r="A235" s="297" t="s">
        <v>1923</v>
      </c>
      <c r="B235" s="279" t="s">
        <v>1924</v>
      </c>
      <c r="C235" s="287"/>
      <c r="D235" s="279"/>
    </row>
    <row r="236" spans="1:4" ht="31.5" x14ac:dyDescent="0.25">
      <c r="A236" s="279" t="s">
        <v>1867</v>
      </c>
      <c r="B236" s="279" t="s">
        <v>656</v>
      </c>
      <c r="C236" s="287"/>
      <c r="D236" s="279" t="s">
        <v>655</v>
      </c>
    </row>
    <row r="237" spans="1:4" ht="31.5" x14ac:dyDescent="0.25">
      <c r="A237" s="279" t="s">
        <v>1868</v>
      </c>
      <c r="B237" s="279" t="s">
        <v>654</v>
      </c>
      <c r="C237" s="287"/>
      <c r="D237" s="279" t="s">
        <v>653</v>
      </c>
    </row>
    <row r="238" spans="1:4" ht="31.5" x14ac:dyDescent="0.25">
      <c r="A238" s="279" t="s">
        <v>1869</v>
      </c>
      <c r="B238" s="279" t="s">
        <v>652</v>
      </c>
      <c r="C238" s="287"/>
      <c r="D238" s="279" t="s">
        <v>651</v>
      </c>
    </row>
    <row r="239" spans="1:4" ht="63" x14ac:dyDescent="0.25">
      <c r="A239" s="279" t="s">
        <v>1870</v>
      </c>
      <c r="B239" s="279" t="s">
        <v>650</v>
      </c>
      <c r="C239" s="287"/>
      <c r="D239" s="279" t="s">
        <v>649</v>
      </c>
    </row>
    <row r="240" spans="1:4" ht="31.5" x14ac:dyDescent="0.25">
      <c r="A240" s="279" t="s">
        <v>1871</v>
      </c>
      <c r="B240" s="279" t="s">
        <v>648</v>
      </c>
      <c r="C240" s="287"/>
      <c r="D240" s="279" t="s">
        <v>647</v>
      </c>
    </row>
    <row r="241" spans="1:4" ht="31.5" x14ac:dyDescent="0.25">
      <c r="A241" s="279" t="s">
        <v>1872</v>
      </c>
      <c r="B241" s="279" t="s">
        <v>646</v>
      </c>
      <c r="C241" s="287"/>
      <c r="D241" s="279" t="s">
        <v>645</v>
      </c>
    </row>
    <row r="242" spans="1:4" ht="31.5" x14ac:dyDescent="0.25">
      <c r="A242" s="279" t="s">
        <v>1873</v>
      </c>
      <c r="B242" s="279" t="s">
        <v>644</v>
      </c>
      <c r="C242" s="287"/>
      <c r="D242" s="279" t="s">
        <v>642</v>
      </c>
    </row>
    <row r="243" spans="1:4" ht="31.5" x14ac:dyDescent="0.25">
      <c r="A243" s="279" t="s">
        <v>1874</v>
      </c>
      <c r="B243" s="279" t="s">
        <v>643</v>
      </c>
      <c r="C243" s="287"/>
      <c r="D243" s="279" t="s">
        <v>642</v>
      </c>
    </row>
    <row r="244" spans="1:4" x14ac:dyDescent="0.25">
      <c r="A244" s="279" t="s">
        <v>1673</v>
      </c>
      <c r="B244" s="279" t="s">
        <v>1675</v>
      </c>
      <c r="C244" s="287"/>
      <c r="D244" s="279"/>
    </row>
    <row r="245" spans="1:4" x14ac:dyDescent="0.25">
      <c r="A245" s="279" t="s">
        <v>1674</v>
      </c>
      <c r="B245" s="279" t="s">
        <v>1675</v>
      </c>
      <c r="C245" s="287"/>
      <c r="D245" s="279"/>
    </row>
    <row r="246" spans="1:4" x14ac:dyDescent="0.25">
      <c r="A246" s="279" t="s">
        <v>1875</v>
      </c>
      <c r="B246" s="279" t="s">
        <v>1556</v>
      </c>
      <c r="C246" s="287"/>
      <c r="D246" s="279"/>
    </row>
    <row r="247" spans="1:4" ht="31.5" x14ac:dyDescent="0.25">
      <c r="A247" s="279" t="s">
        <v>1876</v>
      </c>
      <c r="B247" s="279" t="s">
        <v>1557</v>
      </c>
      <c r="C247" s="287"/>
      <c r="D247" s="279" t="s">
        <v>1558</v>
      </c>
    </row>
    <row r="248" spans="1:4" x14ac:dyDescent="0.25">
      <c r="A248" s="279" t="s">
        <v>1877</v>
      </c>
      <c r="B248" s="279" t="s">
        <v>1559</v>
      </c>
      <c r="C248" s="287"/>
      <c r="D248" s="279" t="s">
        <v>1558</v>
      </c>
    </row>
    <row r="249" spans="1:4" x14ac:dyDescent="0.25">
      <c r="A249" s="297" t="s">
        <v>1921</v>
      </c>
      <c r="B249" s="279" t="s">
        <v>1922</v>
      </c>
      <c r="C249" s="287"/>
      <c r="D249" s="279"/>
    </row>
    <row r="250" spans="1:4" ht="47.25" x14ac:dyDescent="0.25">
      <c r="A250" s="279" t="s">
        <v>1878</v>
      </c>
      <c r="B250" s="279" t="s">
        <v>641</v>
      </c>
      <c r="C250" s="287"/>
      <c r="D250" s="279" t="s">
        <v>640</v>
      </c>
    </row>
    <row r="251" spans="1:4" ht="47.25" x14ac:dyDescent="0.25">
      <c r="A251" s="279" t="s">
        <v>1879</v>
      </c>
      <c r="B251" s="279" t="s">
        <v>639</v>
      </c>
      <c r="C251" s="287"/>
      <c r="D251" s="279" t="s">
        <v>638</v>
      </c>
    </row>
    <row r="252" spans="1:4" ht="31.5" x14ac:dyDescent="0.25">
      <c r="A252" s="279" t="s">
        <v>1880</v>
      </c>
      <c r="B252" s="279" t="s">
        <v>637</v>
      </c>
      <c r="C252" s="287"/>
      <c r="D252" s="279" t="s">
        <v>636</v>
      </c>
    </row>
    <row r="253" spans="1:4" ht="31.5" x14ac:dyDescent="0.25">
      <c r="A253" s="279" t="s">
        <v>856</v>
      </c>
      <c r="B253" s="279" t="s">
        <v>1689</v>
      </c>
      <c r="C253" s="287"/>
      <c r="D253" s="279" t="s">
        <v>1677</v>
      </c>
    </row>
    <row r="254" spans="1:4" ht="31.5" x14ac:dyDescent="0.25">
      <c r="A254" s="279" t="s">
        <v>1881</v>
      </c>
      <c r="B254" s="279" t="s">
        <v>1430</v>
      </c>
      <c r="C254" s="287"/>
      <c r="D254" s="279"/>
    </row>
    <row r="255" spans="1:4" x14ac:dyDescent="0.25">
      <c r="A255" s="279" t="s">
        <v>1882</v>
      </c>
      <c r="B255" s="279" t="s">
        <v>1463</v>
      </c>
      <c r="C255" s="287" t="s">
        <v>268</v>
      </c>
      <c r="D255" s="279"/>
    </row>
    <row r="256" spans="1:4" ht="31.5" x14ac:dyDescent="0.25">
      <c r="A256" s="279" t="s">
        <v>1883</v>
      </c>
      <c r="B256" s="279" t="s">
        <v>1464</v>
      </c>
      <c r="C256" s="287" t="s">
        <v>268</v>
      </c>
      <c r="D256" s="279" t="s">
        <v>1465</v>
      </c>
    </row>
    <row r="257" spans="1:4" x14ac:dyDescent="0.25">
      <c r="A257" s="279" t="s">
        <v>1884</v>
      </c>
      <c r="B257" s="279" t="s">
        <v>1466</v>
      </c>
      <c r="C257" s="287" t="s">
        <v>268</v>
      </c>
      <c r="D257" s="279"/>
    </row>
    <row r="258" spans="1:4" x14ac:dyDescent="0.25">
      <c r="A258" s="279" t="s">
        <v>1885</v>
      </c>
      <c r="B258" s="279" t="s">
        <v>1466</v>
      </c>
      <c r="C258" s="287" t="s">
        <v>268</v>
      </c>
      <c r="D258" s="279"/>
    </row>
    <row r="259" spans="1:4" x14ac:dyDescent="0.25">
      <c r="A259" s="279" t="s">
        <v>1886</v>
      </c>
      <c r="B259" s="279" t="s">
        <v>1466</v>
      </c>
      <c r="C259" s="287" t="s">
        <v>846</v>
      </c>
      <c r="D259" s="279"/>
    </row>
    <row r="260" spans="1:4" x14ac:dyDescent="0.25">
      <c r="A260" s="279" t="s">
        <v>1887</v>
      </c>
      <c r="B260" s="279" t="s">
        <v>1467</v>
      </c>
      <c r="C260" s="287" t="s">
        <v>268</v>
      </c>
      <c r="D260" s="279"/>
    </row>
    <row r="261" spans="1:4" x14ac:dyDescent="0.25">
      <c r="A261" s="279" t="s">
        <v>1888</v>
      </c>
      <c r="B261" s="279" t="s">
        <v>1467</v>
      </c>
      <c r="C261" s="287" t="s">
        <v>846</v>
      </c>
      <c r="D261" s="279"/>
    </row>
    <row r="262" spans="1:4" ht="31.5" x14ac:dyDescent="0.25">
      <c r="A262" s="279" t="s">
        <v>1889</v>
      </c>
      <c r="B262" s="279" t="s">
        <v>1568</v>
      </c>
      <c r="C262" s="287"/>
      <c r="D262" s="279"/>
    </row>
    <row r="263" spans="1:4" ht="31.5" x14ac:dyDescent="0.25">
      <c r="A263" s="279" t="s">
        <v>1890</v>
      </c>
      <c r="B263" s="279" t="s">
        <v>1468</v>
      </c>
      <c r="C263" s="287" t="s">
        <v>846</v>
      </c>
      <c r="D263" s="279"/>
    </row>
    <row r="264" spans="1:4" x14ac:dyDescent="0.25">
      <c r="A264" s="279" t="s">
        <v>1616</v>
      </c>
      <c r="B264" s="279" t="s">
        <v>1617</v>
      </c>
      <c r="C264" s="287"/>
      <c r="D264" s="279"/>
    </row>
    <row r="265" spans="1:4" x14ac:dyDescent="0.25">
      <c r="A265" s="279" t="s">
        <v>1678</v>
      </c>
      <c r="B265" s="279" t="s">
        <v>1679</v>
      </c>
      <c r="C265" s="287"/>
      <c r="D265" s="279" t="s">
        <v>1680</v>
      </c>
    </row>
  </sheetData>
  <conditionalFormatting sqref="A47">
    <cfRule type="duplicateValues" dxfId="69" priority="3"/>
  </conditionalFormatting>
  <conditionalFormatting sqref="A1:A1048576">
    <cfRule type="duplicateValues" dxfId="68" priority="1"/>
    <cfRule type="duplicateValues" dxfId="67" priority="2"/>
  </conditionalFormatting>
  <hyperlinks>
    <hyperlink ref="B3" r:id="rId1" display="http://www.7-zip.org/"/>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5"/>
  <sheetViews>
    <sheetView topLeftCell="A61" workbookViewId="0">
      <selection activeCell="B56" sqref="B56"/>
    </sheetView>
  </sheetViews>
  <sheetFormatPr defaultRowHeight="15" x14ac:dyDescent="0.25"/>
  <cols>
    <col min="1" max="1" width="9.140625" customWidth="1"/>
    <col min="2" max="2" width="25.5703125" bestFit="1" customWidth="1"/>
    <col min="3" max="3" width="91.5703125" customWidth="1"/>
  </cols>
  <sheetData>
    <row r="1" spans="1:3" ht="15.75" x14ac:dyDescent="0.25">
      <c r="A1" s="205" t="s">
        <v>751</v>
      </c>
      <c r="B1" s="210" t="s">
        <v>468</v>
      </c>
      <c r="C1" s="211" t="s">
        <v>752</v>
      </c>
    </row>
    <row r="2" spans="1:3" ht="15.75" x14ac:dyDescent="0.25">
      <c r="A2" s="214" t="s">
        <v>753</v>
      </c>
      <c r="B2" s="215" t="s">
        <v>946</v>
      </c>
      <c r="C2" s="216"/>
    </row>
    <row r="3" spans="1:3" ht="15.75" x14ac:dyDescent="0.25">
      <c r="A3" s="208" t="s">
        <v>754</v>
      </c>
      <c r="B3" s="202" t="s">
        <v>947</v>
      </c>
      <c r="C3" s="209"/>
    </row>
    <row r="4" spans="1:3" ht="15.75" x14ac:dyDescent="0.25">
      <c r="A4" s="208" t="s">
        <v>755</v>
      </c>
      <c r="B4" s="202" t="s">
        <v>948</v>
      </c>
      <c r="C4" s="209"/>
    </row>
    <row r="5" spans="1:3" ht="15.75" x14ac:dyDescent="0.25">
      <c r="A5" s="208" t="s">
        <v>756</v>
      </c>
      <c r="B5" s="202" t="s">
        <v>949</v>
      </c>
      <c r="C5" s="209"/>
    </row>
    <row r="6" spans="1:3" ht="15.75" x14ac:dyDescent="0.25">
      <c r="A6" s="208" t="s">
        <v>757</v>
      </c>
      <c r="B6" s="202" t="s">
        <v>950</v>
      </c>
      <c r="C6" s="209"/>
    </row>
    <row r="7" spans="1:3" ht="15.75" x14ac:dyDescent="0.25">
      <c r="A7" s="208" t="s">
        <v>758</v>
      </c>
      <c r="B7" s="202" t="s">
        <v>951</v>
      </c>
      <c r="C7" s="209"/>
    </row>
    <row r="8" spans="1:3" ht="15.75" x14ac:dyDescent="0.25">
      <c r="A8" s="208" t="s">
        <v>759</v>
      </c>
      <c r="B8" s="202" t="s">
        <v>952</v>
      </c>
      <c r="C8" s="209"/>
    </row>
    <row r="9" spans="1:3" ht="15.75" x14ac:dyDescent="0.25">
      <c r="A9" s="208" t="s">
        <v>760</v>
      </c>
      <c r="B9" s="202" t="s">
        <v>953</v>
      </c>
      <c r="C9" s="209"/>
    </row>
    <row r="10" spans="1:3" ht="15.75" x14ac:dyDescent="0.25">
      <c r="A10" s="208" t="s">
        <v>761</v>
      </c>
      <c r="B10" s="202" t="s">
        <v>954</v>
      </c>
      <c r="C10" s="209"/>
    </row>
    <row r="11" spans="1:3" ht="15.75" x14ac:dyDescent="0.25">
      <c r="A11" s="208" t="s">
        <v>762</v>
      </c>
      <c r="B11" s="202" t="s">
        <v>955</v>
      </c>
      <c r="C11" s="209"/>
    </row>
    <row r="12" spans="1:3" ht="15.75" x14ac:dyDescent="0.25">
      <c r="A12" s="208" t="s">
        <v>763</v>
      </c>
      <c r="B12" s="202" t="s">
        <v>956</v>
      </c>
      <c r="C12" s="209"/>
    </row>
    <row r="13" spans="1:3" ht="15.75" x14ac:dyDescent="0.25">
      <c r="A13" s="208" t="s">
        <v>764</v>
      </c>
      <c r="B13" s="202" t="s">
        <v>957</v>
      </c>
      <c r="C13" s="209"/>
    </row>
    <row r="14" spans="1:3" ht="15.75" x14ac:dyDescent="0.25">
      <c r="A14" s="208" t="s">
        <v>765</v>
      </c>
      <c r="B14" s="202" t="s">
        <v>958</v>
      </c>
      <c r="C14" s="209"/>
    </row>
    <row r="15" spans="1:3" ht="15.75" x14ac:dyDescent="0.25">
      <c r="A15" s="208" t="s">
        <v>766</v>
      </c>
      <c r="B15" s="202" t="s">
        <v>959</v>
      </c>
      <c r="C15" s="209"/>
    </row>
    <row r="16" spans="1:3" ht="15.75" x14ac:dyDescent="0.25">
      <c r="A16" s="208" t="s">
        <v>767</v>
      </c>
      <c r="B16" s="202" t="s">
        <v>960</v>
      </c>
      <c r="C16" s="209"/>
    </row>
    <row r="17" spans="1:3" ht="15.75" x14ac:dyDescent="0.25">
      <c r="A17" s="208" t="s">
        <v>768</v>
      </c>
      <c r="B17" s="202" t="s">
        <v>961</v>
      </c>
      <c r="C17" s="209"/>
    </row>
    <row r="18" spans="1:3" ht="15.75" x14ac:dyDescent="0.25">
      <c r="A18" s="208" t="s">
        <v>769</v>
      </c>
      <c r="B18" s="202" t="s">
        <v>962</v>
      </c>
      <c r="C18" s="209"/>
    </row>
    <row r="19" spans="1:3" ht="15.75" x14ac:dyDescent="0.25">
      <c r="A19" s="208" t="s">
        <v>770</v>
      </c>
      <c r="B19" s="202" t="s">
        <v>963</v>
      </c>
      <c r="C19" s="209"/>
    </row>
    <row r="20" spans="1:3" ht="15.75" x14ac:dyDescent="0.25">
      <c r="A20" s="208" t="s">
        <v>771</v>
      </c>
      <c r="B20" s="202" t="s">
        <v>964</v>
      </c>
      <c r="C20" s="209"/>
    </row>
    <row r="21" spans="1:3" ht="15.75" x14ac:dyDescent="0.25">
      <c r="A21" s="208" t="s">
        <v>772</v>
      </c>
      <c r="B21" s="202" t="s">
        <v>965</v>
      </c>
      <c r="C21" s="209"/>
    </row>
    <row r="22" spans="1:3" ht="15.75" x14ac:dyDescent="0.25">
      <c r="A22" s="208" t="s">
        <v>773</v>
      </c>
      <c r="B22" s="202" t="s">
        <v>966</v>
      </c>
      <c r="C22" s="209"/>
    </row>
    <row r="23" spans="1:3" ht="15.75" x14ac:dyDescent="0.25">
      <c r="A23" s="208" t="s">
        <v>774</v>
      </c>
      <c r="B23" s="202" t="s">
        <v>967</v>
      </c>
      <c r="C23" s="209"/>
    </row>
    <row r="24" spans="1:3" ht="15.75" x14ac:dyDescent="0.25">
      <c r="A24" s="208" t="s">
        <v>775</v>
      </c>
      <c r="B24" s="202" t="s">
        <v>968</v>
      </c>
      <c r="C24" s="209"/>
    </row>
    <row r="25" spans="1:3" ht="15.75" x14ac:dyDescent="0.25">
      <c r="A25" s="208" t="s">
        <v>776</v>
      </c>
      <c r="B25" s="202" t="s">
        <v>969</v>
      </c>
      <c r="C25" s="209"/>
    </row>
    <row r="26" spans="1:3" ht="15.75" x14ac:dyDescent="0.25">
      <c r="A26" s="208" t="s">
        <v>777</v>
      </c>
      <c r="B26" s="202" t="s">
        <v>970</v>
      </c>
      <c r="C26" s="209"/>
    </row>
    <row r="27" spans="1:3" ht="15.75" x14ac:dyDescent="0.25">
      <c r="A27" s="208" t="s">
        <v>778</v>
      </c>
      <c r="B27" s="202" t="s">
        <v>971</v>
      </c>
      <c r="C27" s="209"/>
    </row>
    <row r="28" spans="1:3" ht="15.75" x14ac:dyDescent="0.25">
      <c r="A28" s="208" t="s">
        <v>779</v>
      </c>
      <c r="B28" s="202" t="s">
        <v>972</v>
      </c>
      <c r="C28" s="209"/>
    </row>
    <row r="29" spans="1:3" ht="15.75" x14ac:dyDescent="0.25">
      <c r="A29" s="208" t="s">
        <v>780</v>
      </c>
      <c r="B29" s="202" t="s">
        <v>973</v>
      </c>
      <c r="C29" s="209"/>
    </row>
    <row r="30" spans="1:3" ht="15.75" x14ac:dyDescent="0.25">
      <c r="A30" s="208" t="s">
        <v>781</v>
      </c>
      <c r="B30" s="202" t="s">
        <v>974</v>
      </c>
      <c r="C30" s="209"/>
    </row>
    <row r="31" spans="1:3" ht="15.75" x14ac:dyDescent="0.25">
      <c r="A31" s="208" t="s">
        <v>782</v>
      </c>
      <c r="B31" s="202" t="s">
        <v>975</v>
      </c>
      <c r="C31" s="209"/>
    </row>
    <row r="32" spans="1:3" ht="15.75" x14ac:dyDescent="0.25">
      <c r="A32" s="208" t="s">
        <v>783</v>
      </c>
      <c r="B32" s="202" t="s">
        <v>976</v>
      </c>
      <c r="C32" s="209"/>
    </row>
    <row r="33" spans="1:3" ht="15.75" x14ac:dyDescent="0.25">
      <c r="A33" s="208" t="s">
        <v>784</v>
      </c>
      <c r="B33" s="202" t="s">
        <v>977</v>
      </c>
      <c r="C33" s="209"/>
    </row>
    <row r="34" spans="1:3" ht="15.75" x14ac:dyDescent="0.25">
      <c r="A34" s="208" t="s">
        <v>785</v>
      </c>
      <c r="B34" s="202" t="s">
        <v>978</v>
      </c>
      <c r="C34" s="209"/>
    </row>
    <row r="35" spans="1:3" ht="15.75" x14ac:dyDescent="0.25">
      <c r="A35" s="208" t="s">
        <v>786</v>
      </c>
      <c r="B35" s="202" t="s">
        <v>979</v>
      </c>
      <c r="C35" s="209"/>
    </row>
    <row r="36" spans="1:3" ht="15.75" x14ac:dyDescent="0.25">
      <c r="A36" s="208" t="s">
        <v>787</v>
      </c>
      <c r="B36" s="202" t="s">
        <v>980</v>
      </c>
      <c r="C36" s="209"/>
    </row>
    <row r="37" spans="1:3" ht="15.75" x14ac:dyDescent="0.25">
      <c r="A37" s="208" t="s">
        <v>788</v>
      </c>
      <c r="B37" s="202" t="s">
        <v>981</v>
      </c>
      <c r="C37" s="209"/>
    </row>
    <row r="38" spans="1:3" ht="15.75" x14ac:dyDescent="0.25">
      <c r="A38" s="208" t="s">
        <v>789</v>
      </c>
      <c r="B38" s="202" t="s">
        <v>982</v>
      </c>
      <c r="C38" s="209"/>
    </row>
    <row r="39" spans="1:3" ht="15.75" x14ac:dyDescent="0.25">
      <c r="A39" s="208" t="s">
        <v>790</v>
      </c>
      <c r="B39" s="202" t="s">
        <v>983</v>
      </c>
      <c r="C39" s="209"/>
    </row>
    <row r="40" spans="1:3" ht="15.75" x14ac:dyDescent="0.25">
      <c r="A40" s="208" t="s">
        <v>791</v>
      </c>
      <c r="B40" s="202" t="s">
        <v>984</v>
      </c>
      <c r="C40" s="209"/>
    </row>
    <row r="41" spans="1:3" ht="15.75" x14ac:dyDescent="0.25">
      <c r="A41" s="208" t="s">
        <v>792</v>
      </c>
      <c r="B41" s="202" t="s">
        <v>985</v>
      </c>
      <c r="C41" s="209"/>
    </row>
    <row r="42" spans="1:3" ht="15.75" x14ac:dyDescent="0.25">
      <c r="A42" s="208" t="s">
        <v>793</v>
      </c>
      <c r="B42" s="202" t="s">
        <v>986</v>
      </c>
      <c r="C42" s="209"/>
    </row>
    <row r="43" spans="1:3" ht="15.75" x14ac:dyDescent="0.25">
      <c r="A43" s="208" t="s">
        <v>794</v>
      </c>
      <c r="B43" s="202" t="s">
        <v>987</v>
      </c>
      <c r="C43" s="209"/>
    </row>
    <row r="44" spans="1:3" ht="15.75" x14ac:dyDescent="0.25">
      <c r="A44" s="208" t="s">
        <v>795</v>
      </c>
      <c r="B44" s="202" t="s">
        <v>988</v>
      </c>
      <c r="C44" s="209"/>
    </row>
    <row r="45" spans="1:3" ht="15.75" x14ac:dyDescent="0.25">
      <c r="A45" s="208" t="s">
        <v>796</v>
      </c>
      <c r="B45" s="202" t="s">
        <v>989</v>
      </c>
      <c r="C45" s="209"/>
    </row>
    <row r="46" spans="1:3" ht="15.75" x14ac:dyDescent="0.25">
      <c r="A46" s="208" t="s">
        <v>797</v>
      </c>
      <c r="B46" s="202" t="s">
        <v>990</v>
      </c>
      <c r="C46" s="209"/>
    </row>
    <row r="47" spans="1:3" ht="15.75" x14ac:dyDescent="0.25">
      <c r="A47" s="208" t="s">
        <v>798</v>
      </c>
      <c r="B47" s="202" t="s">
        <v>991</v>
      </c>
      <c r="C47" s="209"/>
    </row>
    <row r="48" spans="1:3" ht="15.75" x14ac:dyDescent="0.25">
      <c r="A48" s="208" t="s">
        <v>799</v>
      </c>
      <c r="B48" s="202" t="s">
        <v>992</v>
      </c>
      <c r="C48" s="209"/>
    </row>
    <row r="49" spans="1:3" ht="15.75" x14ac:dyDescent="0.25">
      <c r="A49" s="208" t="s">
        <v>800</v>
      </c>
      <c r="B49" s="202" t="s">
        <v>993</v>
      </c>
      <c r="C49" s="209"/>
    </row>
    <row r="50" spans="1:3" ht="15.75" x14ac:dyDescent="0.25">
      <c r="A50" s="208" t="s">
        <v>801</v>
      </c>
      <c r="B50" s="202" t="s">
        <v>994</v>
      </c>
      <c r="C50" s="209"/>
    </row>
    <row r="51" spans="1:3" ht="15.75" x14ac:dyDescent="0.25">
      <c r="A51" s="208" t="s">
        <v>802</v>
      </c>
      <c r="B51" s="202" t="s">
        <v>995</v>
      </c>
      <c r="C51" s="209"/>
    </row>
    <row r="52" spans="1:3" ht="15.75" x14ac:dyDescent="0.25">
      <c r="A52" s="208" t="s">
        <v>803</v>
      </c>
      <c r="B52" s="202" t="s">
        <v>804</v>
      </c>
      <c r="C52" s="209"/>
    </row>
    <row r="53" spans="1:3" ht="15.75" x14ac:dyDescent="0.25">
      <c r="A53" s="212" t="s">
        <v>805</v>
      </c>
      <c r="B53" s="204" t="s">
        <v>806</v>
      </c>
      <c r="C53" s="213"/>
    </row>
    <row r="54" spans="1:3" ht="15.75" x14ac:dyDescent="0.25">
      <c r="A54" s="208" t="s">
        <v>807</v>
      </c>
      <c r="B54" s="202" t="s">
        <v>894</v>
      </c>
      <c r="C54" s="209" t="s">
        <v>873</v>
      </c>
    </row>
    <row r="55" spans="1:3" ht="15.75" x14ac:dyDescent="0.25">
      <c r="A55" s="208" t="s">
        <v>808</v>
      </c>
      <c r="B55" s="202" t="s">
        <v>895</v>
      </c>
      <c r="C55" s="209" t="s">
        <v>890</v>
      </c>
    </row>
    <row r="56" spans="1:3" ht="15.75" x14ac:dyDescent="0.25">
      <c r="A56" s="208" t="s">
        <v>809</v>
      </c>
      <c r="B56" s="202" t="s">
        <v>896</v>
      </c>
      <c r="C56" s="209" t="s">
        <v>860</v>
      </c>
    </row>
    <row r="57" spans="1:3" ht="15.75" x14ac:dyDescent="0.25">
      <c r="A57" s="208" t="s">
        <v>810</v>
      </c>
      <c r="B57" s="202" t="s">
        <v>897</v>
      </c>
      <c r="C57" s="209" t="s">
        <v>863</v>
      </c>
    </row>
    <row r="58" spans="1:3" ht="15.75" x14ac:dyDescent="0.25">
      <c r="A58" s="208" t="s">
        <v>811</v>
      </c>
      <c r="B58" s="202" t="s">
        <v>898</v>
      </c>
      <c r="C58" s="209"/>
    </row>
    <row r="59" spans="1:3" ht="15.75" x14ac:dyDescent="0.25">
      <c r="A59" s="208" t="s">
        <v>812</v>
      </c>
      <c r="B59" s="202" t="s">
        <v>899</v>
      </c>
      <c r="C59" s="209" t="s">
        <v>881</v>
      </c>
    </row>
    <row r="60" spans="1:3" ht="15.75" x14ac:dyDescent="0.25">
      <c r="A60" s="208" t="s">
        <v>813</v>
      </c>
      <c r="B60" s="202" t="s">
        <v>900</v>
      </c>
      <c r="C60" s="209" t="s">
        <v>892</v>
      </c>
    </row>
    <row r="61" spans="1:3" ht="15.75" x14ac:dyDescent="0.25">
      <c r="A61" s="208" t="s">
        <v>814</v>
      </c>
      <c r="B61" s="202" t="s">
        <v>901</v>
      </c>
      <c r="C61" s="209" t="s">
        <v>878</v>
      </c>
    </row>
    <row r="62" spans="1:3" ht="15.75" x14ac:dyDescent="0.25">
      <c r="A62" s="208" t="s">
        <v>815</v>
      </c>
      <c r="B62" s="202" t="s">
        <v>902</v>
      </c>
      <c r="C62" s="209"/>
    </row>
    <row r="63" spans="1:3" ht="15.75" x14ac:dyDescent="0.25">
      <c r="A63" s="208" t="s">
        <v>816</v>
      </c>
      <c r="B63" s="202" t="s">
        <v>903</v>
      </c>
      <c r="C63" s="209"/>
    </row>
    <row r="64" spans="1:3" ht="15.75" x14ac:dyDescent="0.25">
      <c r="A64" s="208" t="s">
        <v>817</v>
      </c>
      <c r="B64" s="202" t="s">
        <v>904</v>
      </c>
      <c r="C64" s="209"/>
    </row>
    <row r="65" spans="1:3" ht="15.75" x14ac:dyDescent="0.25">
      <c r="A65" s="208" t="s">
        <v>818</v>
      </c>
      <c r="B65" s="202" t="s">
        <v>905</v>
      </c>
      <c r="C65" s="209"/>
    </row>
    <row r="66" spans="1:3" ht="15.75" x14ac:dyDescent="0.25">
      <c r="A66" s="208" t="s">
        <v>819</v>
      </c>
      <c r="B66" s="202" t="s">
        <v>906</v>
      </c>
      <c r="C66" s="209" t="s">
        <v>866</v>
      </c>
    </row>
    <row r="67" spans="1:3" ht="15.75" x14ac:dyDescent="0.25">
      <c r="A67" s="208" t="s">
        <v>820</v>
      </c>
      <c r="B67" s="202" t="s">
        <v>907</v>
      </c>
      <c r="C67" s="209"/>
    </row>
    <row r="68" spans="1:3" ht="15.75" x14ac:dyDescent="0.25">
      <c r="A68" s="208" t="s">
        <v>821</v>
      </c>
      <c r="B68" s="202" t="s">
        <v>908</v>
      </c>
      <c r="C68" s="209"/>
    </row>
    <row r="69" spans="1:3" ht="15.75" x14ac:dyDescent="0.25">
      <c r="A69" s="208" t="s">
        <v>822</v>
      </c>
      <c r="B69" s="202" t="s">
        <v>909</v>
      </c>
      <c r="C69" s="209" t="s">
        <v>872</v>
      </c>
    </row>
    <row r="70" spans="1:3" ht="15.75" x14ac:dyDescent="0.25">
      <c r="A70" s="208" t="s">
        <v>823</v>
      </c>
      <c r="B70" s="202" t="s">
        <v>910</v>
      </c>
      <c r="C70" s="209"/>
    </row>
    <row r="71" spans="1:3" ht="15.75" x14ac:dyDescent="0.25">
      <c r="A71" s="208" t="s">
        <v>824</v>
      </c>
      <c r="B71" s="202" t="s">
        <v>911</v>
      </c>
      <c r="C71" s="209" t="s">
        <v>858</v>
      </c>
    </row>
    <row r="72" spans="1:3" ht="15.75" x14ac:dyDescent="0.25">
      <c r="A72" s="208" t="s">
        <v>825</v>
      </c>
      <c r="B72" s="202" t="s">
        <v>912</v>
      </c>
      <c r="C72" s="209" t="s">
        <v>865</v>
      </c>
    </row>
    <row r="73" spans="1:3" ht="15.75" x14ac:dyDescent="0.25">
      <c r="A73" s="208" t="s">
        <v>826</v>
      </c>
      <c r="B73" s="202" t="s">
        <v>913</v>
      </c>
      <c r="C73" s="209" t="s">
        <v>864</v>
      </c>
    </row>
    <row r="74" spans="1:3" ht="15.75" x14ac:dyDescent="0.25">
      <c r="A74" s="208" t="s">
        <v>827</v>
      </c>
      <c r="B74" s="202" t="s">
        <v>914</v>
      </c>
      <c r="C74" s="209"/>
    </row>
    <row r="75" spans="1:3" ht="15.75" x14ac:dyDescent="0.25">
      <c r="A75" s="208" t="s">
        <v>828</v>
      </c>
      <c r="B75" s="202" t="s">
        <v>915</v>
      </c>
      <c r="C75" s="209" t="s">
        <v>859</v>
      </c>
    </row>
    <row r="76" spans="1:3" ht="15.75" x14ac:dyDescent="0.25">
      <c r="A76" s="208" t="s">
        <v>829</v>
      </c>
      <c r="B76" s="202" t="s">
        <v>916</v>
      </c>
      <c r="C76" s="209" t="s">
        <v>871</v>
      </c>
    </row>
    <row r="77" spans="1:3" ht="15.75" x14ac:dyDescent="0.25">
      <c r="A77" s="208" t="s">
        <v>830</v>
      </c>
      <c r="B77" s="202" t="s">
        <v>917</v>
      </c>
      <c r="C77" s="209"/>
    </row>
    <row r="78" spans="1:3" ht="15.75" x14ac:dyDescent="0.25">
      <c r="A78" s="208" t="s">
        <v>831</v>
      </c>
      <c r="B78" s="202" t="s">
        <v>918</v>
      </c>
      <c r="C78" s="209"/>
    </row>
    <row r="79" spans="1:3" ht="15.75" x14ac:dyDescent="0.25">
      <c r="A79" s="208" t="s">
        <v>832</v>
      </c>
      <c r="B79" s="202" t="s">
        <v>919</v>
      </c>
      <c r="C79" s="209"/>
    </row>
    <row r="80" spans="1:3" ht="15.75" x14ac:dyDescent="0.25">
      <c r="A80" s="208" t="s">
        <v>833</v>
      </c>
      <c r="B80" s="202" t="s">
        <v>920</v>
      </c>
      <c r="C80" s="209" t="s">
        <v>869</v>
      </c>
    </row>
    <row r="81" spans="1:3" ht="15.75" x14ac:dyDescent="0.25">
      <c r="A81" s="208" t="s">
        <v>834</v>
      </c>
      <c r="B81" s="202" t="s">
        <v>921</v>
      </c>
      <c r="C81" s="209" t="s">
        <v>891</v>
      </c>
    </row>
    <row r="82" spans="1:3" ht="15.75" x14ac:dyDescent="0.25">
      <c r="A82" s="208" t="s">
        <v>835</v>
      </c>
      <c r="B82" s="202" t="s">
        <v>922</v>
      </c>
      <c r="C82" s="209" t="s">
        <v>886</v>
      </c>
    </row>
    <row r="83" spans="1:3" ht="15.75" x14ac:dyDescent="0.25">
      <c r="A83" s="208" t="s">
        <v>836</v>
      </c>
      <c r="B83" s="202" t="s">
        <v>923</v>
      </c>
      <c r="C83" s="209" t="s">
        <v>876</v>
      </c>
    </row>
    <row r="84" spans="1:3" ht="15.75" x14ac:dyDescent="0.25">
      <c r="A84" s="208" t="s">
        <v>837</v>
      </c>
      <c r="B84" s="202" t="s">
        <v>924</v>
      </c>
      <c r="C84" s="209" t="s">
        <v>875</v>
      </c>
    </row>
    <row r="85" spans="1:3" ht="15.75" x14ac:dyDescent="0.25">
      <c r="A85" s="208" t="s">
        <v>838</v>
      </c>
      <c r="B85" s="202" t="s">
        <v>925</v>
      </c>
      <c r="C85" s="209" t="s">
        <v>887</v>
      </c>
    </row>
    <row r="86" spans="1:3" ht="15.75" x14ac:dyDescent="0.25">
      <c r="A86" s="208" t="s">
        <v>839</v>
      </c>
      <c r="B86" s="202" t="s">
        <v>926</v>
      </c>
      <c r="C86" s="209" t="s">
        <v>893</v>
      </c>
    </row>
    <row r="87" spans="1:3" ht="15.75" x14ac:dyDescent="0.25">
      <c r="A87" s="208" t="s">
        <v>840</v>
      </c>
      <c r="B87" s="202" t="s">
        <v>927</v>
      </c>
      <c r="C87" s="209" t="s">
        <v>888</v>
      </c>
    </row>
    <row r="88" spans="1:3" ht="15.75" x14ac:dyDescent="0.25">
      <c r="A88" s="208" t="s">
        <v>841</v>
      </c>
      <c r="B88" s="202" t="s">
        <v>928</v>
      </c>
      <c r="C88" s="209" t="s">
        <v>870</v>
      </c>
    </row>
    <row r="89" spans="1:3" ht="15.75" x14ac:dyDescent="0.25">
      <c r="A89" s="208" t="s">
        <v>842</v>
      </c>
      <c r="B89" s="202" t="s">
        <v>929</v>
      </c>
      <c r="C89" s="209" t="s">
        <v>885</v>
      </c>
    </row>
    <row r="90" spans="1:3" ht="15.75" x14ac:dyDescent="0.25">
      <c r="A90" s="208" t="s">
        <v>843</v>
      </c>
      <c r="B90" s="202" t="s">
        <v>930</v>
      </c>
      <c r="C90" s="209" t="s">
        <v>867</v>
      </c>
    </row>
    <row r="91" spans="1:3" ht="15.75" x14ac:dyDescent="0.25">
      <c r="A91" s="208" t="s">
        <v>844</v>
      </c>
      <c r="B91" s="202" t="s">
        <v>931</v>
      </c>
      <c r="C91" s="209" t="s">
        <v>880</v>
      </c>
    </row>
    <row r="92" spans="1:3" ht="15.75" x14ac:dyDescent="0.25">
      <c r="A92" s="208" t="s">
        <v>845</v>
      </c>
      <c r="B92" s="202" t="s">
        <v>932</v>
      </c>
      <c r="C92" s="209"/>
    </row>
    <row r="93" spans="1:3" ht="15.75" x14ac:dyDescent="0.25">
      <c r="A93" s="208" t="s">
        <v>846</v>
      </c>
      <c r="B93" s="202" t="s">
        <v>933</v>
      </c>
      <c r="C93" s="209" t="s">
        <v>882</v>
      </c>
    </row>
    <row r="94" spans="1:3" ht="15.75" x14ac:dyDescent="0.25">
      <c r="A94" s="208" t="s">
        <v>847</v>
      </c>
      <c r="B94" s="202" t="s">
        <v>934</v>
      </c>
      <c r="C94" s="209"/>
    </row>
    <row r="95" spans="1:3" ht="15.75" x14ac:dyDescent="0.25">
      <c r="A95" s="208" t="s">
        <v>848</v>
      </c>
      <c r="B95" s="202" t="s">
        <v>935</v>
      </c>
      <c r="C95" s="209" t="s">
        <v>877</v>
      </c>
    </row>
    <row r="96" spans="1:3" ht="15.75" x14ac:dyDescent="0.25">
      <c r="A96" s="208" t="s">
        <v>849</v>
      </c>
      <c r="B96" s="202" t="s">
        <v>936</v>
      </c>
      <c r="C96" s="209" t="s">
        <v>879</v>
      </c>
    </row>
    <row r="97" spans="1:3" ht="15.75" x14ac:dyDescent="0.25">
      <c r="A97" s="208" t="s">
        <v>850</v>
      </c>
      <c r="B97" s="202" t="s">
        <v>937</v>
      </c>
      <c r="C97" s="209" t="s">
        <v>868</v>
      </c>
    </row>
    <row r="98" spans="1:3" ht="15.75" x14ac:dyDescent="0.25">
      <c r="A98" s="208" t="s">
        <v>851</v>
      </c>
      <c r="B98" s="202" t="s">
        <v>938</v>
      </c>
      <c r="C98" s="209" t="s">
        <v>883</v>
      </c>
    </row>
    <row r="99" spans="1:3" ht="15.75" x14ac:dyDescent="0.25">
      <c r="A99" s="208" t="s">
        <v>852</v>
      </c>
      <c r="B99" s="202" t="s">
        <v>939</v>
      </c>
      <c r="C99" s="209" t="s">
        <v>889</v>
      </c>
    </row>
    <row r="100" spans="1:3" ht="15.75" x14ac:dyDescent="0.25">
      <c r="A100" s="208" t="s">
        <v>853</v>
      </c>
      <c r="B100" s="202" t="s">
        <v>940</v>
      </c>
      <c r="C100" s="209"/>
    </row>
    <row r="101" spans="1:3" ht="15.75" x14ac:dyDescent="0.25">
      <c r="A101" s="208" t="s">
        <v>854</v>
      </c>
      <c r="B101" s="202" t="s">
        <v>941</v>
      </c>
      <c r="C101" s="209" t="s">
        <v>874</v>
      </c>
    </row>
    <row r="102" spans="1:3" ht="15.75" x14ac:dyDescent="0.25">
      <c r="A102" s="208" t="s">
        <v>855</v>
      </c>
      <c r="B102" s="202" t="s">
        <v>942</v>
      </c>
      <c r="C102" s="209" t="s">
        <v>884</v>
      </c>
    </row>
    <row r="103" spans="1:3" ht="15.75" x14ac:dyDescent="0.25">
      <c r="A103" s="208" t="s">
        <v>856</v>
      </c>
      <c r="B103" s="202" t="s">
        <v>943</v>
      </c>
      <c r="C103" s="209"/>
    </row>
    <row r="104" spans="1:3" ht="15.75" x14ac:dyDescent="0.25">
      <c r="A104" s="208" t="s">
        <v>268</v>
      </c>
      <c r="B104" s="202" t="s">
        <v>944</v>
      </c>
      <c r="C104" s="209"/>
    </row>
    <row r="105" spans="1:3" ht="15.75" x14ac:dyDescent="0.25">
      <c r="A105" s="212" t="s">
        <v>857</v>
      </c>
      <c r="B105" s="204" t="s">
        <v>945</v>
      </c>
      <c r="C105" s="213" t="s">
        <v>861</v>
      </c>
    </row>
  </sheetData>
  <pageMargins left="0.7" right="0.7" top="0.75" bottom="0.75" header="0.3" footer="0.3"/>
  <pageSetup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topLeftCell="A25" workbookViewId="0">
      <selection activeCell="A58" sqref="A58"/>
    </sheetView>
  </sheetViews>
  <sheetFormatPr defaultRowHeight="15.75" x14ac:dyDescent="0.25"/>
  <cols>
    <col min="1" max="1" width="40.42578125" style="117" bestFit="1" customWidth="1"/>
    <col min="2" max="2" width="42.5703125" style="117" bestFit="1" customWidth="1"/>
    <col min="3" max="3" width="80.28515625" style="117" bestFit="1" customWidth="1"/>
    <col min="4" max="16384" width="9.140625" style="117"/>
  </cols>
  <sheetData>
    <row r="1" spans="1:3" ht="31.5" customHeight="1" thickBot="1" x14ac:dyDescent="0.3">
      <c r="A1" s="342" t="s">
        <v>1155</v>
      </c>
      <c r="B1" s="343"/>
      <c r="C1" s="344"/>
    </row>
    <row r="2" spans="1:3" ht="16.5" thickBot="1" x14ac:dyDescent="0.3">
      <c r="A2" s="230" t="s">
        <v>996</v>
      </c>
      <c r="B2" s="231" t="s">
        <v>997</v>
      </c>
      <c r="C2" s="232" t="s">
        <v>998</v>
      </c>
    </row>
    <row r="3" spans="1:3" x14ac:dyDescent="0.25">
      <c r="A3" s="227" t="s">
        <v>999</v>
      </c>
      <c r="B3" s="228" t="s">
        <v>1000</v>
      </c>
      <c r="C3" s="229" t="s">
        <v>1001</v>
      </c>
    </row>
    <row r="4" spans="1:3" x14ac:dyDescent="0.25">
      <c r="A4" s="220" t="s">
        <v>1002</v>
      </c>
      <c r="B4" s="219" t="s">
        <v>1003</v>
      </c>
      <c r="C4" s="222" t="s">
        <v>1004</v>
      </c>
    </row>
    <row r="5" spans="1:3" x14ac:dyDescent="0.25">
      <c r="A5" s="220" t="s">
        <v>1005</v>
      </c>
      <c r="B5" s="219" t="s">
        <v>1006</v>
      </c>
      <c r="C5" s="221" t="s">
        <v>1007</v>
      </c>
    </row>
    <row r="6" spans="1:3" x14ac:dyDescent="0.25">
      <c r="A6" s="220" t="s">
        <v>1008</v>
      </c>
      <c r="B6" s="219" t="s">
        <v>1009</v>
      </c>
      <c r="C6" s="221" t="s">
        <v>1010</v>
      </c>
    </row>
    <row r="7" spans="1:3" x14ac:dyDescent="0.25">
      <c r="A7" s="220" t="s">
        <v>1011</v>
      </c>
      <c r="B7" s="219" t="s">
        <v>1012</v>
      </c>
      <c r="C7" s="221" t="s">
        <v>1013</v>
      </c>
    </row>
    <row r="8" spans="1:3" x14ac:dyDescent="0.25">
      <c r="A8" s="220" t="s">
        <v>1014</v>
      </c>
      <c r="B8" s="219" t="s">
        <v>1015</v>
      </c>
      <c r="C8" s="221" t="s">
        <v>547</v>
      </c>
    </row>
    <row r="9" spans="1:3" x14ac:dyDescent="0.25">
      <c r="A9" s="220" t="s">
        <v>1016</v>
      </c>
      <c r="B9" s="219" t="s">
        <v>1017</v>
      </c>
      <c r="C9" s="221" t="s">
        <v>547</v>
      </c>
    </row>
    <row r="10" spans="1:3" x14ac:dyDescent="0.25">
      <c r="A10" s="220" t="s">
        <v>1018</v>
      </c>
      <c r="B10" s="219" t="s">
        <v>1019</v>
      </c>
      <c r="C10" s="221" t="s">
        <v>1020</v>
      </c>
    </row>
    <row r="11" spans="1:3" x14ac:dyDescent="0.25">
      <c r="A11" s="220" t="s">
        <v>1021</v>
      </c>
      <c r="B11" s="219" t="s">
        <v>1022</v>
      </c>
      <c r="C11" s="221" t="s">
        <v>1023</v>
      </c>
    </row>
    <row r="12" spans="1:3" ht="31.5" x14ac:dyDescent="0.25">
      <c r="A12" s="220" t="s">
        <v>1024</v>
      </c>
      <c r="B12" s="219" t="s">
        <v>1025</v>
      </c>
      <c r="C12" s="222" t="s">
        <v>1026</v>
      </c>
    </row>
    <row r="13" spans="1:3" ht="31.5" x14ac:dyDescent="0.25">
      <c r="A13" s="220" t="s">
        <v>1027</v>
      </c>
      <c r="B13" s="219" t="s">
        <v>1028</v>
      </c>
      <c r="C13" s="222" t="s">
        <v>1029</v>
      </c>
    </row>
    <row r="14" spans="1:3" ht="31.5" x14ac:dyDescent="0.25">
      <c r="A14" s="220" t="s">
        <v>1030</v>
      </c>
      <c r="B14" s="219" t="s">
        <v>1031</v>
      </c>
      <c r="C14" s="221" t="s">
        <v>547</v>
      </c>
    </row>
    <row r="15" spans="1:3" x14ac:dyDescent="0.25">
      <c r="A15" s="223" t="s">
        <v>1032</v>
      </c>
      <c r="B15" s="219" t="s">
        <v>1033</v>
      </c>
      <c r="C15" s="221" t="s">
        <v>1034</v>
      </c>
    </row>
    <row r="16" spans="1:3" x14ac:dyDescent="0.25">
      <c r="A16" s="220" t="s">
        <v>1035</v>
      </c>
      <c r="B16" s="219" t="s">
        <v>1036</v>
      </c>
      <c r="C16" s="222" t="s">
        <v>1037</v>
      </c>
    </row>
    <row r="17" spans="1:3" x14ac:dyDescent="0.25">
      <c r="A17" s="220" t="s">
        <v>1038</v>
      </c>
      <c r="B17" s="219" t="s">
        <v>1039</v>
      </c>
      <c r="C17" s="222" t="s">
        <v>1040</v>
      </c>
    </row>
    <row r="18" spans="1:3" x14ac:dyDescent="0.25">
      <c r="A18" s="220" t="s">
        <v>1041</v>
      </c>
      <c r="B18" s="219" t="s">
        <v>1042</v>
      </c>
      <c r="C18" s="222" t="s">
        <v>1043</v>
      </c>
    </row>
    <row r="19" spans="1:3" x14ac:dyDescent="0.25">
      <c r="A19" s="223" t="s">
        <v>1044</v>
      </c>
      <c r="B19" s="219" t="s">
        <v>1045</v>
      </c>
      <c r="C19" s="222" t="s">
        <v>1046</v>
      </c>
    </row>
    <row r="20" spans="1:3" ht="31.5" x14ac:dyDescent="0.25">
      <c r="A20" s="220" t="s">
        <v>1047</v>
      </c>
      <c r="B20" s="219" t="s">
        <v>1048</v>
      </c>
      <c r="C20" s="222" t="s">
        <v>1049</v>
      </c>
    </row>
    <row r="21" spans="1:3" x14ac:dyDescent="0.25">
      <c r="A21" s="220" t="s">
        <v>1050</v>
      </c>
      <c r="B21" s="219" t="s">
        <v>1051</v>
      </c>
      <c r="C21" s="221" t="s">
        <v>1052</v>
      </c>
    </row>
    <row r="22" spans="1:3" ht="31.5" x14ac:dyDescent="0.25">
      <c r="A22" s="220" t="s">
        <v>1053</v>
      </c>
      <c r="B22" s="219" t="s">
        <v>1054</v>
      </c>
      <c r="C22" s="222" t="s">
        <v>1055</v>
      </c>
    </row>
    <row r="23" spans="1:3" x14ac:dyDescent="0.25">
      <c r="A23" s="223" t="s">
        <v>1056</v>
      </c>
      <c r="B23" s="219" t="s">
        <v>1057</v>
      </c>
      <c r="C23" s="221" t="s">
        <v>1058</v>
      </c>
    </row>
    <row r="24" spans="1:3" x14ac:dyDescent="0.25">
      <c r="A24" s="220" t="s">
        <v>1059</v>
      </c>
      <c r="B24" s="219" t="s">
        <v>1060</v>
      </c>
      <c r="C24" s="221" t="s">
        <v>1061</v>
      </c>
    </row>
    <row r="25" spans="1:3" x14ac:dyDescent="0.25">
      <c r="A25" s="220" t="s">
        <v>1062</v>
      </c>
      <c r="B25" s="219" t="s">
        <v>1063</v>
      </c>
      <c r="C25" s="221" t="s">
        <v>1064</v>
      </c>
    </row>
    <row r="26" spans="1:3" x14ac:dyDescent="0.25">
      <c r="A26" s="220" t="s">
        <v>1065</v>
      </c>
      <c r="B26" s="219" t="s">
        <v>1066</v>
      </c>
      <c r="C26" s="222" t="s">
        <v>1067</v>
      </c>
    </row>
    <row r="27" spans="1:3" ht="31.5" x14ac:dyDescent="0.25">
      <c r="A27" s="220" t="s">
        <v>1068</v>
      </c>
      <c r="B27" s="219" t="s">
        <v>1069</v>
      </c>
      <c r="C27" s="222" t="s">
        <v>1070</v>
      </c>
    </row>
    <row r="28" spans="1:3" ht="31.5" x14ac:dyDescent="0.25">
      <c r="A28" s="220" t="s">
        <v>1071</v>
      </c>
      <c r="B28" s="219" t="s">
        <v>1072</v>
      </c>
      <c r="C28" s="222" t="s">
        <v>1073</v>
      </c>
    </row>
    <row r="29" spans="1:3" x14ac:dyDescent="0.25">
      <c r="A29" s="220" t="s">
        <v>1074</v>
      </c>
      <c r="B29" s="219" t="s">
        <v>1075</v>
      </c>
      <c r="C29" s="221" t="s">
        <v>1076</v>
      </c>
    </row>
    <row r="30" spans="1:3" x14ac:dyDescent="0.25">
      <c r="A30" s="220" t="s">
        <v>1077</v>
      </c>
      <c r="B30" s="219" t="s">
        <v>1078</v>
      </c>
      <c r="C30" s="221" t="s">
        <v>1079</v>
      </c>
    </row>
    <row r="31" spans="1:3" x14ac:dyDescent="0.25">
      <c r="A31" s="220" t="s">
        <v>1080</v>
      </c>
      <c r="B31" s="219" t="s">
        <v>1081</v>
      </c>
      <c r="C31" s="221" t="s">
        <v>1082</v>
      </c>
    </row>
    <row r="32" spans="1:3" x14ac:dyDescent="0.25">
      <c r="A32" s="220" t="s">
        <v>1083</v>
      </c>
      <c r="B32" s="219" t="s">
        <v>1084</v>
      </c>
      <c r="C32" s="221" t="s">
        <v>1085</v>
      </c>
    </row>
    <row r="33" spans="1:3" x14ac:dyDescent="0.25">
      <c r="A33" s="220" t="s">
        <v>1086</v>
      </c>
      <c r="B33" s="219" t="s">
        <v>1087</v>
      </c>
      <c r="C33" s="222" t="s">
        <v>1088</v>
      </c>
    </row>
    <row r="34" spans="1:3" x14ac:dyDescent="0.25">
      <c r="A34" s="220" t="s">
        <v>1089</v>
      </c>
      <c r="B34" s="219" t="s">
        <v>1090</v>
      </c>
      <c r="C34" s="221" t="s">
        <v>1091</v>
      </c>
    </row>
    <row r="35" spans="1:3" x14ac:dyDescent="0.25">
      <c r="A35" s="220" t="s">
        <v>1092</v>
      </c>
      <c r="B35" s="219" t="s">
        <v>1093</v>
      </c>
      <c r="C35" s="221" t="s">
        <v>1094</v>
      </c>
    </row>
    <row r="36" spans="1:3" x14ac:dyDescent="0.25">
      <c r="A36" s="220" t="s">
        <v>1095</v>
      </c>
      <c r="B36" s="219" t="s">
        <v>1096</v>
      </c>
      <c r="C36" s="221" t="s">
        <v>1097</v>
      </c>
    </row>
    <row r="37" spans="1:3" x14ac:dyDescent="0.25">
      <c r="A37" s="220" t="s">
        <v>1098</v>
      </c>
      <c r="B37" s="219" t="s">
        <v>1099</v>
      </c>
      <c r="C37" s="222" t="s">
        <v>1100</v>
      </c>
    </row>
    <row r="38" spans="1:3" x14ac:dyDescent="0.25">
      <c r="A38" s="220" t="s">
        <v>1101</v>
      </c>
      <c r="B38" s="219" t="s">
        <v>1102</v>
      </c>
      <c r="C38" s="222" t="s">
        <v>1103</v>
      </c>
    </row>
    <row r="39" spans="1:3" x14ac:dyDescent="0.25">
      <c r="A39" s="220" t="s">
        <v>1104</v>
      </c>
      <c r="B39" s="219" t="s">
        <v>1105</v>
      </c>
      <c r="C39" s="222" t="s">
        <v>1106</v>
      </c>
    </row>
    <row r="40" spans="1:3" x14ac:dyDescent="0.25">
      <c r="A40" s="220" t="s">
        <v>1107</v>
      </c>
      <c r="B40" s="219" t="s">
        <v>1108</v>
      </c>
      <c r="C40" s="222" t="s">
        <v>1109</v>
      </c>
    </row>
    <row r="41" spans="1:3" x14ac:dyDescent="0.25">
      <c r="A41" s="220" t="s">
        <v>1110</v>
      </c>
      <c r="B41" s="219" t="s">
        <v>1111</v>
      </c>
      <c r="C41" s="222" t="s">
        <v>1112</v>
      </c>
    </row>
    <row r="42" spans="1:3" x14ac:dyDescent="0.25">
      <c r="A42" s="220" t="s">
        <v>1113</v>
      </c>
      <c r="B42" s="219" t="s">
        <v>1114</v>
      </c>
      <c r="C42" s="221" t="s">
        <v>547</v>
      </c>
    </row>
    <row r="43" spans="1:3" x14ac:dyDescent="0.25">
      <c r="A43" s="220" t="s">
        <v>1115</v>
      </c>
      <c r="B43" s="219" t="s">
        <v>1116</v>
      </c>
      <c r="C43" s="221" t="s">
        <v>547</v>
      </c>
    </row>
    <row r="44" spans="1:3" ht="31.5" x14ac:dyDescent="0.25">
      <c r="A44" s="220" t="s">
        <v>1117</v>
      </c>
      <c r="B44" s="219" t="s">
        <v>1118</v>
      </c>
      <c r="C44" s="222" t="s">
        <v>1119</v>
      </c>
    </row>
    <row r="45" spans="1:3" x14ac:dyDescent="0.25">
      <c r="A45" s="220" t="s">
        <v>1120</v>
      </c>
      <c r="B45" s="219" t="s">
        <v>1121</v>
      </c>
      <c r="C45" s="222" t="s">
        <v>1111</v>
      </c>
    </row>
    <row r="46" spans="1:3" x14ac:dyDescent="0.25">
      <c r="A46" s="220" t="s">
        <v>1122</v>
      </c>
      <c r="B46" s="219" t="s">
        <v>1123</v>
      </c>
      <c r="C46" s="222" t="s">
        <v>1124</v>
      </c>
    </row>
    <row r="47" spans="1:3" x14ac:dyDescent="0.25">
      <c r="A47" s="220" t="s">
        <v>1125</v>
      </c>
      <c r="B47" s="219" t="s">
        <v>1126</v>
      </c>
      <c r="C47" s="221" t="s">
        <v>1124</v>
      </c>
    </row>
    <row r="48" spans="1:3" x14ac:dyDescent="0.25">
      <c r="A48" s="223" t="s">
        <v>1127</v>
      </c>
      <c r="B48" s="219" t="s">
        <v>1128</v>
      </c>
      <c r="C48" s="222" t="s">
        <v>1129</v>
      </c>
    </row>
    <row r="49" spans="1:3" ht="31.5" x14ac:dyDescent="0.25">
      <c r="A49" s="220" t="s">
        <v>1130</v>
      </c>
      <c r="B49" s="219" t="s">
        <v>1131</v>
      </c>
      <c r="C49" s="222" t="s">
        <v>1132</v>
      </c>
    </row>
    <row r="50" spans="1:3" x14ac:dyDescent="0.25">
      <c r="A50" s="220" t="s">
        <v>1133</v>
      </c>
      <c r="B50" s="219" t="s">
        <v>1134</v>
      </c>
      <c r="C50" s="222" t="s">
        <v>1135</v>
      </c>
    </row>
    <row r="51" spans="1:3" x14ac:dyDescent="0.25">
      <c r="A51" s="220" t="s">
        <v>1136</v>
      </c>
      <c r="B51" s="219" t="s">
        <v>1137</v>
      </c>
      <c r="C51" s="222" t="s">
        <v>1138</v>
      </c>
    </row>
    <row r="52" spans="1:3" x14ac:dyDescent="0.25">
      <c r="A52" s="220" t="s">
        <v>1139</v>
      </c>
      <c r="B52" s="219" t="s">
        <v>1140</v>
      </c>
      <c r="C52" s="221" t="s">
        <v>1141</v>
      </c>
    </row>
    <row r="53" spans="1:3" x14ac:dyDescent="0.25">
      <c r="A53" s="220" t="s">
        <v>1142</v>
      </c>
      <c r="B53" s="219" t="s">
        <v>1000</v>
      </c>
      <c r="C53" s="221" t="s">
        <v>1143</v>
      </c>
    </row>
    <row r="54" spans="1:3" x14ac:dyDescent="0.25">
      <c r="A54" s="220" t="s">
        <v>1144</v>
      </c>
      <c r="B54" s="219" t="s">
        <v>1145</v>
      </c>
      <c r="C54" s="221" t="s">
        <v>547</v>
      </c>
    </row>
    <row r="55" spans="1:3" ht="31.5" x14ac:dyDescent="0.25">
      <c r="A55" s="220" t="s">
        <v>1146</v>
      </c>
      <c r="B55" s="218" t="s">
        <v>1147</v>
      </c>
      <c r="C55" s="221" t="s">
        <v>1148</v>
      </c>
    </row>
    <row r="56" spans="1:3" x14ac:dyDescent="0.25">
      <c r="A56" s="220" t="s">
        <v>1149</v>
      </c>
      <c r="B56" s="219" t="s">
        <v>1150</v>
      </c>
      <c r="C56" s="221" t="s">
        <v>1151</v>
      </c>
    </row>
    <row r="57" spans="1:3" ht="31.5" x14ac:dyDescent="0.25">
      <c r="A57" s="224" t="s">
        <v>1152</v>
      </c>
      <c r="B57" s="225" t="s">
        <v>1153</v>
      </c>
      <c r="C57" s="226" t="s">
        <v>1154</v>
      </c>
    </row>
  </sheetData>
  <mergeCells count="1">
    <mergeCell ref="A1:C1"/>
  </mergeCells>
  <hyperlinks>
    <hyperlink ref="A3" r:id="rId1" display="http://whatis.techtarget.com/definition/displacement"/>
    <hyperlink ref="B3" r:id="rId2" display="http://searchcio-midmarket.techtarget.com/definition/meter"/>
    <hyperlink ref="A4" r:id="rId3" display="http://whatis.techtarget.com/definition/mass-m"/>
    <hyperlink ref="B4" r:id="rId4" display="http://searchcio-midmarket.techtarget.com/definition/kilogram"/>
    <hyperlink ref="C4" r:id="rId5" display="http://whatis.techtarget.com/definition/gram-g-or-gm"/>
    <hyperlink ref="A5" r:id="rId6" display="http://searchcio-midmarket.techtarget.com/definition/time"/>
    <hyperlink ref="B5" r:id="rId7" display="http://whatis.techtarget.com/definition/second-s-or-sec"/>
    <hyperlink ref="A6" r:id="rId8" display="http://searchcio-midmarket.techtarget.com/definition/current"/>
    <hyperlink ref="B6" r:id="rId9" display="http://searchcio-midmarket.techtarget.com/definition/ampere"/>
    <hyperlink ref="A7" r:id="rId10" display="http://whatis.techtarget.com/definition/temperature-T"/>
    <hyperlink ref="B7" r:id="rId11" display="http://whatis.techtarget.com/definition/kelvin-K"/>
    <hyperlink ref="A8" r:id="rId12" display="http://whatis.techtarget.com/definition/amount-of-substance-material-quantity"/>
    <hyperlink ref="B8" r:id="rId13" display="http://whatis.techtarget.com/definition/mole"/>
    <hyperlink ref="A9" r:id="rId14" display="http://whatis.techtarget.com/definition/luminous-intensity"/>
    <hyperlink ref="B9" r:id="rId15" display="http://whatis.techtarget.com/definition/candela-cd"/>
    <hyperlink ref="A10" r:id="rId16" display="http://whatis.techtarget.com/definition/area-A"/>
    <hyperlink ref="B10" r:id="rId17" display="http://searchcio-midmarket.techtarget.com/definition/square-meter"/>
    <hyperlink ref="A11" r:id="rId18" display="http://searchstorage.techtarget.com/definition/volume"/>
    <hyperlink ref="B11" r:id="rId19" display="http://searchcio-midmarket.techtarget.com/definition/cubic-meter"/>
    <hyperlink ref="A12" r:id="rId20" display="http://whatis.techtarget.com/definition/material-density"/>
    <hyperlink ref="B12" r:id="rId21" display="http://whatis.techtarget.com/definition/kilogram-per-meter-cubed"/>
    <hyperlink ref="C12" r:id="rId22" display="http://whatis.techtarget.com/definition/kilogram-per-meter-cubed"/>
    <hyperlink ref="A13" r:id="rId23" display="http://whatis.techtarget.com/definition/specific-volume"/>
    <hyperlink ref="B13" r:id="rId24" display="http://whatis.techtarget.com/definition/meter-cubed-per-kilogram"/>
    <hyperlink ref="C13" r:id="rId25" display="http://whatis.techtarget.com/definition/centimeter-cubed-per-gram"/>
    <hyperlink ref="A14" r:id="rId26" display="http://whatis.techtarget.com/definition/amount-of-substance-concentration"/>
    <hyperlink ref="B14" r:id="rId27" display="http://whatis.techtarget.com/definition/mole-per-meter-cubed-Avogadro-constant"/>
    <hyperlink ref="B15" r:id="rId28" display="http://searchcio-midmarket.techtarget.com/definition/newton"/>
    <hyperlink ref="A16" r:id="rId29" display="http://whatis.techtarget.com/definition/dyne"/>
    <hyperlink ref="B16" r:id="rId30" display="http://whatis.techtarget.com/definition/newton-second-N-s"/>
    <hyperlink ref="C16" r:id="rId31" display="http://whatis.techtarget.com/definition/newton-second-N-s"/>
    <hyperlink ref="A17" r:id="rId32" display="http://whatis.techtarget.com/definition/work"/>
    <hyperlink ref="B17" r:id="rId33" display="http://whatis.techtarget.com/definition/work"/>
    <hyperlink ref="C17" r:id="rId34" display="http://whatis.techtarget.com/definition/work"/>
    <hyperlink ref="A18" r:id="rId35" display="http://whatis.techtarget.com/definition/pressure"/>
    <hyperlink ref="B18" r:id="rId36" display="http://searchenterpriselinux.techtarget.com/definition/Pascal"/>
    <hyperlink ref="C18" r:id="rId37" display="http://searchenterpriselinux.techtarget.com/definition/Pascal"/>
    <hyperlink ref="B19" r:id="rId38" display="http://whatis.techtarget.com/definition/meter-per-second-m-s-or-m-sec"/>
    <hyperlink ref="C19" r:id="rId39" display="http://whatis.techtarget.com/definition/meter-per-second-m-s-or-m-sec"/>
    <hyperlink ref="A20" r:id="rId40" display="http://whatis.techtarget.com/definition/momentum"/>
    <hyperlink ref="B20" r:id="rId41" display="http://whatis.techtarget.com/definition/kilogram-meter-per-second"/>
    <hyperlink ref="C20" r:id="rId42" display="http://whatis.techtarget.com/definition/kilogram-meter-per-second"/>
    <hyperlink ref="A21" r:id="rId43" display="http://whatis.techtarget.com/definition/kilogram-meter-per-second"/>
    <hyperlink ref="B21" r:id="rId44" display="http://whatis.techtarget.com/definition/meter-per-second-squared"/>
    <hyperlink ref="A22" r:id="rId45" display="http://whatis.techtarget.com/definition/gravity-or-gravitation"/>
    <hyperlink ref="B22" r:id="rId46" display="http://whatis.techtarget.com/definition/ampere-per-meter-squared-A-m-2"/>
    <hyperlink ref="C22" r:id="rId47" display="http://whatis.techtarget.com/definition/ampere-per-meter-squared-A-m-2"/>
    <hyperlink ref="B23" r:id="rId48" display="http://searchcio-midmarket.techtarget.com/definition/volt"/>
    <hyperlink ref="A24" r:id="rId49" display="http://searchcio-midmarket.techtarget.com/definition/resistance"/>
    <hyperlink ref="B24" r:id="rId50" display="http://whatis.techtarget.com/definition/ohm"/>
    <hyperlink ref="A25" r:id="rId51" display="http://searchnetworking.techtarget.com/definition/conductance"/>
    <hyperlink ref="B25" r:id="rId52" display="http://searchcio-midmarket.techtarget.com/definition/siemens"/>
    <hyperlink ref="A26" r:id="rId53" display="http://whatis.techtarget.com/definition/electric-field-strength"/>
    <hyperlink ref="B26" r:id="rId54" display="http://whatis.techtarget.com/definition/volt-per-meter-V-m"/>
    <hyperlink ref="C26" r:id="rId55" display="http://whatis.techtarget.com/definition/volt-per-meter-V-m"/>
    <hyperlink ref="A27" r:id="rId56" display="http://whatis.techtarget.com/definition/volt-per-meter-V-m"/>
    <hyperlink ref="B27" r:id="rId57" display="http://whatis.techtarget.com/definition/volt-per-meter-V-m"/>
    <hyperlink ref="C27" r:id="rId58" display="http://whatis.techtarget.com/definition/coulomb-per-centimeter-squared"/>
    <hyperlink ref="A28" r:id="rId59" display="http://whatis.techtarget.com/definition/coulomb-per-centimeter-squared"/>
    <hyperlink ref="B28" r:id="rId60" display="http://whatis.techtarget.com/definition/coulomb-per-meter-cubed"/>
    <hyperlink ref="C28" r:id="rId61" display="http://whatis.techtarget.com/definition/coulomb-per-meter-cubed"/>
    <hyperlink ref="A29" r:id="rId62" display="http://searchcio-midmarket.techtarget.com/definition/permittivity"/>
    <hyperlink ref="B29" r:id="rId63" display="http://searchcio-midmarket.techtarget.com/definition/permittivity"/>
    <hyperlink ref="A30" r:id="rId64" display="http://searchcio-midmarket.techtarget.com/definition/power"/>
    <hyperlink ref="B30" r:id="rId65" display="http://searchcio-midmarket.techtarget.com/definition/watt"/>
    <hyperlink ref="A31" r:id="rId66" display="http://searchcio-midmarket.techtarget.com/definition/energy"/>
    <hyperlink ref="B31" r:id="rId67" display="http://searchcio-midmarket.techtarget.com/definition/joule"/>
    <hyperlink ref="A32" r:id="rId68" display="http://whatis.techtarget.com/definition/heat"/>
    <hyperlink ref="B32" r:id="rId69" display="http://whatis.techtarget.com/definition/calorie-cal"/>
    <hyperlink ref="A33" r:id="rId70" display="http://whatis.techtarget.com/definition/magnetomotive-force-magnetic-potential"/>
    <hyperlink ref="B33" r:id="rId71" display="http://whatis.techtarget.com/definition/magnetomotive-force-magnetic-potential"/>
    <hyperlink ref="C33" r:id="rId72" display="http://whatis.techtarget.com/definition/magnetomotive-force-magnetic-potential"/>
    <hyperlink ref="A34" r:id="rId73" display="http://whatis.techtarget.com/definition/charge-quantity"/>
    <hyperlink ref="B34" r:id="rId74" display="http://searchcio-midmarket.techtarget.com/definition/coulomb"/>
    <hyperlink ref="A35" r:id="rId75" display="http://searchcio-midmarket.techtarget.com/definition/capacitor"/>
    <hyperlink ref="B35" r:id="rId76" display="http://searchcio-midmarket.techtarget.com/definition/farad"/>
    <hyperlink ref="A36" r:id="rId77" display="http://searchcio-midmarket.techtarget.com/definition/inductor"/>
    <hyperlink ref="B36" r:id="rId78" display="http://whatis.techtarget.com/definition/henry-H"/>
    <hyperlink ref="A37" r:id="rId79" display="http://whatis.techtarget.com/definition/abhenry-abH"/>
    <hyperlink ref="B37" r:id="rId80" display="http://whatis.techtarget.com/definition/abhenry-abH"/>
    <hyperlink ref="C37" r:id="rId81" display="http://whatis.techtarget.com/definition/abhenry-abH"/>
    <hyperlink ref="A38" r:id="rId82" display="http://whatis.techtarget.com/definition/abhenry-abH"/>
    <hyperlink ref="B38" r:id="rId83" display="http://whatis.techtarget.com/definition/tesla-T"/>
    <hyperlink ref="C38" r:id="rId84" display="http://whatis.techtarget.com/definition/gauss-G"/>
    <hyperlink ref="A39" r:id="rId85" display="http://searchcio-midmarket.techtarget.com/definition/magnetic-field-strength"/>
    <hyperlink ref="B39" r:id="rId86" display="http://whatis.techtarget.com/definition/ampere-per-meter-A-m-Oe-oersted"/>
    <hyperlink ref="C39" r:id="rId87" display="http://whatis.techtarget.com/definition/ampere-per-meter-A-m-Oe-oersted"/>
    <hyperlink ref="A40" r:id="rId88" display="http://searchcio-midmarket.techtarget.com/definition/permeability"/>
    <hyperlink ref="B40" r:id="rId89" display="http://whatis.techtarget.com/definition/henry-per-meter-H-m"/>
    <hyperlink ref="C40" r:id="rId90" display="http://whatis.techtarget.com/definition/henry-per-meter-H-m"/>
    <hyperlink ref="A41" r:id="rId91" display="http://whatis.techtarget.com/definition/henry-per-meter-H-m"/>
    <hyperlink ref="B41" r:id="rId92" display="http://whatis.techtarget.com/definition/henry-per-meter-H-m"/>
    <hyperlink ref="C41" r:id="rId93" display="http://whatis.techtarget.com/definition/henry-per-meter-H-m"/>
    <hyperlink ref="A42" r:id="rId94" display="http://whatis.techtarget.com/definition/radiant-intensity"/>
    <hyperlink ref="B42" r:id="rId95" display="http://whatis.techtarget.com/definition/watt-per-steradian"/>
    <hyperlink ref="A43" r:id="rId96" display="http://whatis.techtarget.com/definition/luminous-flux"/>
    <hyperlink ref="B43" r:id="rId97" display="http://searchcio-midmarket.techtarget.com/definition/lumen"/>
    <hyperlink ref="A44" r:id="rId98" display="http://searchcio-midmarket.techtarget.com/definition/lumen"/>
    <hyperlink ref="B44" r:id="rId99" display="http://whatis.techtarget.com/definition/candela-per-meter-squared"/>
    <hyperlink ref="C44" r:id="rId100" display="http://whatis.techtarget.com/definition/candela-per-meter-squared"/>
    <hyperlink ref="A45" r:id="rId101" display="http://whatis.techtarget.com/definition/candela-per-meter-squared"/>
    <hyperlink ref="B45" r:id="rId102" display="http://whatis.techtarget.com/definition/lux-lx"/>
    <hyperlink ref="C45" r:id="rId103" display="http://whatis.techtarget.com/definition/lux-lx"/>
    <hyperlink ref="A46" r:id="rId104" display="http://whatis.techtarget.com/definition/lux-lx"/>
    <hyperlink ref="B46" r:id="rId105" display="http://searchcio-midmarket.techtarget.com/definition/radian"/>
    <hyperlink ref="C46" r:id="rId106" display="http://whatis.techtarget.com/definition/angular-degree-deg-or"/>
    <hyperlink ref="A47" r:id="rId107" display="http://whatis.techtarget.com/definition/solid-angular-measure"/>
    <hyperlink ref="B47" r:id="rId108" display="http://searchcio-midmarket.techtarget.com/definition/steradian"/>
    <hyperlink ref="B48" r:id="rId109" display="http://whatis.techtarget.com/definition/radian-per-second-rad-s-or-rad-sec"/>
    <hyperlink ref="C48" r:id="rId110" display="http://whatis.techtarget.com/definition/degree-per-second"/>
    <hyperlink ref="A49" r:id="rId111" display="http://whatis.techtarget.com/definition/angular-acceleration-rotational-acceleration"/>
    <hyperlink ref="B49" r:id="rId112" display="http://whatis.techtarget.com/definition/radian-per-second-squared"/>
    <hyperlink ref="C49" r:id="rId113" display="http://whatis.techtarget.com/definition/degree-per-second-squared"/>
    <hyperlink ref="A50" r:id="rId114" display="http://whatis.techtarget.com/definition/ionizing-radiation"/>
    <hyperlink ref="B50" r:id="rId115" display="http://whatis.techtarget.com/definition/becquerel"/>
    <hyperlink ref="C50" r:id="rId116" display="http://whatis.techtarget.com/definition/curie"/>
    <hyperlink ref="A51" r:id="rId117" display="http://whatis.techtarget.com/definition/curie"/>
    <hyperlink ref="B51" r:id="rId118" display="http://whatis.techtarget.com/definition/gray-Gy"/>
    <hyperlink ref="C51" r:id="rId119" display="http://searchsoftwarequality.techtarget.com/definition/rapid-application-development"/>
    <hyperlink ref="A52" r:id="rId120" display="http://searchcio-midmarket.techtarget.com/definition/frequency"/>
    <hyperlink ref="B52" r:id="rId121" display="http://searchmobilecomputing.techtarget.com/definition/hertz"/>
    <hyperlink ref="A53" r:id="rId122" display="http://searchnetworking.techtarget.com/definition/wavelength"/>
    <hyperlink ref="B53" r:id="rId123" display="http://searchcio-midmarket.techtarget.com/definition/meter"/>
    <hyperlink ref="A54" r:id="rId124" display="http://searchcio-midmarket.techtarget.com/definition/wave-number"/>
    <hyperlink ref="B54" r:id="rId125" display="http://whatis.techtarget.com/definition/reciprocal-meter"/>
    <hyperlink ref="A55" r:id="rId126" display="http://whatis.techtarget.com/definition/reciprocal-meter"/>
    <hyperlink ref="A56" r:id="rId127" display="http://searchenterprisewan.techtarget.com/definition/bandwidth"/>
    <hyperlink ref="B56" r:id="rId128" display="http://searchmobilecomputing.techtarget.com/definition/hertz"/>
    <hyperlink ref="A57" r:id="rId129" display="http://searchenterprisewan.techtarget.com/definition/bandwidth"/>
    <hyperlink ref="B57" r:id="rId130" display="http://searchnetworking.techtarget.com/definition/bits-per-second"/>
  </hyperlinks>
  <pageMargins left="0.7" right="0.7" top="0.75" bottom="0.75" header="0.3" footer="0.3"/>
  <tableParts count="1">
    <tablePart r:id="rId13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4"/>
  <sheetViews>
    <sheetView workbookViewId="0">
      <selection activeCell="F19" sqref="F19"/>
    </sheetView>
  </sheetViews>
  <sheetFormatPr defaultRowHeight="15" x14ac:dyDescent="0.25"/>
  <cols>
    <col min="1" max="1" width="9.42578125" customWidth="1"/>
    <col min="2" max="2" width="15.5703125" customWidth="1"/>
    <col min="3" max="3" width="18.140625" customWidth="1"/>
    <col min="4" max="4" width="18.42578125" customWidth="1"/>
    <col min="6" max="6" width="21.42578125" customWidth="1"/>
    <col min="7" max="7" width="18.140625" customWidth="1"/>
    <col min="8" max="8" width="19.28515625" customWidth="1"/>
    <col min="9" max="9" width="20.85546875" customWidth="1"/>
  </cols>
  <sheetData>
    <row r="1" spans="1:9" ht="16.5" thickBot="1" x14ac:dyDescent="0.3">
      <c r="A1" s="270" t="s">
        <v>1330</v>
      </c>
      <c r="B1" s="271" t="s">
        <v>1331</v>
      </c>
      <c r="C1" s="271" t="s">
        <v>1332</v>
      </c>
      <c r="D1" s="272" t="s">
        <v>258</v>
      </c>
      <c r="F1" s="265" t="s">
        <v>1388</v>
      </c>
      <c r="G1" s="266" t="s">
        <v>1389</v>
      </c>
      <c r="H1" s="266" t="s">
        <v>1390</v>
      </c>
      <c r="I1" s="267" t="s">
        <v>1391</v>
      </c>
    </row>
    <row r="2" spans="1:9" ht="18.75" x14ac:dyDescent="0.25">
      <c r="A2" s="261" t="s">
        <v>1333</v>
      </c>
      <c r="B2" s="262" t="s">
        <v>831</v>
      </c>
      <c r="C2" s="263" t="s">
        <v>1358</v>
      </c>
      <c r="D2" s="262"/>
      <c r="F2" s="251" t="s">
        <v>1392</v>
      </c>
      <c r="G2" s="264" t="s">
        <v>1393</v>
      </c>
      <c r="H2" s="264" t="s">
        <v>1394</v>
      </c>
      <c r="I2" s="264" t="s">
        <v>1373</v>
      </c>
    </row>
    <row r="3" spans="1:9" ht="18.75" x14ac:dyDescent="0.25">
      <c r="A3" s="256" t="s">
        <v>1334</v>
      </c>
      <c r="B3" s="255" t="s">
        <v>832</v>
      </c>
      <c r="C3" s="254" t="s">
        <v>1359</v>
      </c>
      <c r="D3" s="255"/>
      <c r="F3" s="250" t="s">
        <v>1395</v>
      </c>
      <c r="G3" s="260" t="s">
        <v>1396</v>
      </c>
      <c r="H3" s="260" t="s">
        <v>1397</v>
      </c>
      <c r="I3" s="260" t="s">
        <v>1375</v>
      </c>
    </row>
    <row r="4" spans="1:9" ht="18.75" x14ac:dyDescent="0.25">
      <c r="A4" s="256" t="s">
        <v>1335</v>
      </c>
      <c r="B4" s="255" t="s">
        <v>807</v>
      </c>
      <c r="C4" s="254" t="s">
        <v>1360</v>
      </c>
      <c r="D4" s="255"/>
      <c r="F4" s="250" t="s">
        <v>1398</v>
      </c>
      <c r="G4" s="260" t="s">
        <v>1399</v>
      </c>
      <c r="H4" s="260" t="s">
        <v>1400</v>
      </c>
      <c r="I4" s="260" t="s">
        <v>1377</v>
      </c>
    </row>
    <row r="5" spans="1:9" ht="18.75" x14ac:dyDescent="0.25">
      <c r="A5" s="256" t="s">
        <v>1336</v>
      </c>
      <c r="B5" s="255" t="s">
        <v>812</v>
      </c>
      <c r="C5" s="254" t="s">
        <v>1361</v>
      </c>
      <c r="D5" s="255"/>
      <c r="F5" s="250" t="s">
        <v>1401</v>
      </c>
      <c r="G5" s="260" t="s">
        <v>1402</v>
      </c>
      <c r="H5" s="260" t="s">
        <v>1403</v>
      </c>
      <c r="I5" s="260" t="s">
        <v>1379</v>
      </c>
    </row>
    <row r="6" spans="1:9" ht="18.75" x14ac:dyDescent="0.25">
      <c r="A6" s="256" t="s">
        <v>1337</v>
      </c>
      <c r="B6" s="255" t="s">
        <v>822</v>
      </c>
      <c r="C6" s="254" t="s">
        <v>1362</v>
      </c>
      <c r="D6" s="255"/>
      <c r="F6" s="250" t="s">
        <v>1404</v>
      </c>
      <c r="G6" s="260" t="s">
        <v>1405</v>
      </c>
      <c r="H6" s="260" t="s">
        <v>1406</v>
      </c>
      <c r="I6" s="260" t="s">
        <v>1381</v>
      </c>
    </row>
    <row r="7" spans="1:9" ht="18.75" x14ac:dyDescent="0.25">
      <c r="A7" s="256" t="s">
        <v>1338</v>
      </c>
      <c r="B7" s="255" t="s">
        <v>820</v>
      </c>
      <c r="C7" s="254" t="s">
        <v>1363</v>
      </c>
      <c r="D7" s="255"/>
      <c r="F7" s="268" t="s">
        <v>1407</v>
      </c>
      <c r="G7" s="269" t="s">
        <v>1408</v>
      </c>
      <c r="H7" s="269" t="s">
        <v>1409</v>
      </c>
      <c r="I7" s="269" t="s">
        <v>1383</v>
      </c>
    </row>
    <row r="8" spans="1:9" ht="18.75" customHeight="1" x14ac:dyDescent="0.25">
      <c r="A8" s="256" t="s">
        <v>1339</v>
      </c>
      <c r="B8" s="255" t="s">
        <v>822</v>
      </c>
      <c r="C8" s="254" t="s">
        <v>1364</v>
      </c>
      <c r="D8" s="255"/>
      <c r="F8" s="348" t="s">
        <v>1410</v>
      </c>
      <c r="G8" s="349"/>
      <c r="H8" s="349"/>
      <c r="I8" s="350"/>
    </row>
    <row r="9" spans="1:9" ht="18.75" x14ac:dyDescent="0.25">
      <c r="A9" s="256" t="s">
        <v>1340</v>
      </c>
      <c r="B9" s="255" t="s">
        <v>1341</v>
      </c>
      <c r="C9" s="254" t="s">
        <v>1365</v>
      </c>
      <c r="D9" s="255"/>
      <c r="F9" s="351"/>
      <c r="G9" s="352"/>
      <c r="H9" s="352"/>
      <c r="I9" s="353"/>
    </row>
    <row r="10" spans="1:9" ht="18.75" x14ac:dyDescent="0.25">
      <c r="A10" s="256" t="s">
        <v>1342</v>
      </c>
      <c r="B10" s="255" t="s">
        <v>809</v>
      </c>
      <c r="C10" s="254" t="s">
        <v>1366</v>
      </c>
      <c r="D10" s="255"/>
      <c r="F10" s="351"/>
      <c r="G10" s="352"/>
      <c r="H10" s="352"/>
      <c r="I10" s="353"/>
    </row>
    <row r="11" spans="1:9" ht="18.75" x14ac:dyDescent="0.25">
      <c r="A11" s="256" t="s">
        <v>1343</v>
      </c>
      <c r="B11" s="255" t="s">
        <v>810</v>
      </c>
      <c r="C11" s="254" t="s">
        <v>1367</v>
      </c>
      <c r="D11" s="255"/>
      <c r="F11" s="351"/>
      <c r="G11" s="352"/>
      <c r="H11" s="352"/>
      <c r="I11" s="353"/>
    </row>
    <row r="12" spans="1:9" ht="18.75" x14ac:dyDescent="0.25">
      <c r="A12" s="256" t="s">
        <v>1344</v>
      </c>
      <c r="B12" s="255" t="s">
        <v>553</v>
      </c>
      <c r="C12" s="254" t="s">
        <v>1368</v>
      </c>
      <c r="D12" s="255" t="s">
        <v>1369</v>
      </c>
      <c r="F12" s="351"/>
      <c r="G12" s="352"/>
      <c r="H12" s="352"/>
      <c r="I12" s="353"/>
    </row>
    <row r="13" spans="1:9" ht="18.75" x14ac:dyDescent="0.25">
      <c r="A13" s="256" t="s">
        <v>1345</v>
      </c>
      <c r="B13" s="255" t="s">
        <v>1346</v>
      </c>
      <c r="C13" s="254" t="s">
        <v>1370</v>
      </c>
      <c r="D13" s="255"/>
      <c r="F13" s="351"/>
      <c r="G13" s="352"/>
      <c r="H13" s="352"/>
      <c r="I13" s="353"/>
    </row>
    <row r="14" spans="1:9" ht="18.75" x14ac:dyDescent="0.25">
      <c r="A14" s="256" t="s">
        <v>1347</v>
      </c>
      <c r="B14" s="255" t="s">
        <v>814</v>
      </c>
      <c r="C14" s="254" t="s">
        <v>1371</v>
      </c>
      <c r="D14" s="255"/>
      <c r="F14" s="354"/>
      <c r="G14" s="355"/>
      <c r="H14" s="355"/>
      <c r="I14" s="356"/>
    </row>
    <row r="15" spans="1:9" ht="18.75" x14ac:dyDescent="0.25">
      <c r="A15" s="256" t="s">
        <v>1348</v>
      </c>
      <c r="B15" s="255" t="s">
        <v>1349</v>
      </c>
      <c r="C15" s="254" t="s">
        <v>1372</v>
      </c>
      <c r="D15" s="255" t="s">
        <v>1373</v>
      </c>
      <c r="F15" s="273"/>
      <c r="G15" s="273"/>
      <c r="H15" s="273"/>
      <c r="I15" s="273"/>
    </row>
    <row r="16" spans="1:9" ht="18.75" x14ac:dyDescent="0.25">
      <c r="A16" s="256" t="s">
        <v>1350</v>
      </c>
      <c r="B16" s="255" t="s">
        <v>845</v>
      </c>
      <c r="C16" s="254" t="s">
        <v>1374</v>
      </c>
      <c r="D16" s="255" t="s">
        <v>1375</v>
      </c>
    </row>
    <row r="17" spans="1:4" ht="18.75" x14ac:dyDescent="0.25">
      <c r="A17" s="256" t="s">
        <v>1351</v>
      </c>
      <c r="B17" s="255" t="s">
        <v>839</v>
      </c>
      <c r="C17" s="254" t="s">
        <v>1376</v>
      </c>
      <c r="D17" s="255" t="s">
        <v>1377</v>
      </c>
    </row>
    <row r="18" spans="1:4" ht="18.75" x14ac:dyDescent="0.25">
      <c r="A18" s="256" t="s">
        <v>1352</v>
      </c>
      <c r="B18" s="255" t="s">
        <v>852</v>
      </c>
      <c r="C18" s="254" t="s">
        <v>1378</v>
      </c>
      <c r="D18" s="255" t="s">
        <v>1379</v>
      </c>
    </row>
    <row r="19" spans="1:4" ht="18.75" x14ac:dyDescent="0.25">
      <c r="A19" s="256" t="s">
        <v>1353</v>
      </c>
      <c r="B19" s="255" t="s">
        <v>848</v>
      </c>
      <c r="C19" s="254" t="s">
        <v>1380</v>
      </c>
      <c r="D19" s="255" t="s">
        <v>1381</v>
      </c>
    </row>
    <row r="20" spans="1:4" ht="18.75" x14ac:dyDescent="0.25">
      <c r="A20" s="256" t="s">
        <v>1354</v>
      </c>
      <c r="B20" s="255" t="s">
        <v>837</v>
      </c>
      <c r="C20" s="254" t="s">
        <v>1382</v>
      </c>
      <c r="D20" s="255" t="s">
        <v>1383</v>
      </c>
    </row>
    <row r="21" spans="1:4" ht="18.75" x14ac:dyDescent="0.25">
      <c r="A21" s="256" t="s">
        <v>1355</v>
      </c>
      <c r="B21" s="255" t="s">
        <v>857</v>
      </c>
      <c r="C21" s="254" t="s">
        <v>1384</v>
      </c>
      <c r="D21" s="255" t="s">
        <v>1385</v>
      </c>
    </row>
    <row r="22" spans="1:4" ht="18.75" x14ac:dyDescent="0.25">
      <c r="A22" s="257" t="s">
        <v>1356</v>
      </c>
      <c r="B22" s="258" t="s">
        <v>268</v>
      </c>
      <c r="C22" s="259" t="s">
        <v>1386</v>
      </c>
      <c r="D22" s="258" t="s">
        <v>1387</v>
      </c>
    </row>
    <row r="23" spans="1:4" ht="18.75" x14ac:dyDescent="0.25">
      <c r="A23" s="345" t="s">
        <v>1357</v>
      </c>
      <c r="B23" s="346"/>
      <c r="C23" s="346"/>
      <c r="D23" s="347"/>
    </row>
    <row r="24" spans="1:4" ht="15" customHeight="1" x14ac:dyDescent="0.25">
      <c r="A24" s="348" t="s">
        <v>1411</v>
      </c>
      <c r="B24" s="349"/>
      <c r="C24" s="349"/>
      <c r="D24" s="350"/>
    </row>
    <row r="25" spans="1:4" x14ac:dyDescent="0.25">
      <c r="A25" s="351"/>
      <c r="B25" s="352"/>
      <c r="C25" s="352"/>
      <c r="D25" s="353"/>
    </row>
    <row r="26" spans="1:4" x14ac:dyDescent="0.25">
      <c r="A26" s="351"/>
      <c r="B26" s="352"/>
      <c r="C26" s="352"/>
      <c r="D26" s="353"/>
    </row>
    <row r="27" spans="1:4" x14ac:dyDescent="0.25">
      <c r="A27" s="351"/>
      <c r="B27" s="352"/>
      <c r="C27" s="352"/>
      <c r="D27" s="353"/>
    </row>
    <row r="28" spans="1:4" x14ac:dyDescent="0.25">
      <c r="A28" s="351"/>
      <c r="B28" s="352"/>
      <c r="C28" s="352"/>
      <c r="D28" s="353"/>
    </row>
    <row r="29" spans="1:4" x14ac:dyDescent="0.25">
      <c r="A29" s="351"/>
      <c r="B29" s="352"/>
      <c r="C29" s="352"/>
      <c r="D29" s="353"/>
    </row>
    <row r="30" spans="1:4" x14ac:dyDescent="0.25">
      <c r="A30" s="351"/>
      <c r="B30" s="352"/>
      <c r="C30" s="352"/>
      <c r="D30" s="353"/>
    </row>
    <row r="31" spans="1:4" x14ac:dyDescent="0.25">
      <c r="A31" s="351"/>
      <c r="B31" s="352"/>
      <c r="C31" s="352"/>
      <c r="D31" s="353"/>
    </row>
    <row r="32" spans="1:4" x14ac:dyDescent="0.25">
      <c r="A32" s="351"/>
      <c r="B32" s="352"/>
      <c r="C32" s="352"/>
      <c r="D32" s="353"/>
    </row>
    <row r="33" spans="1:4" x14ac:dyDescent="0.25">
      <c r="A33" s="351"/>
      <c r="B33" s="352"/>
      <c r="C33" s="352"/>
      <c r="D33" s="353"/>
    </row>
    <row r="34" spans="1:4" x14ac:dyDescent="0.25">
      <c r="A34" s="354"/>
      <c r="B34" s="355"/>
      <c r="C34" s="355"/>
      <c r="D34" s="356"/>
    </row>
  </sheetData>
  <mergeCells count="3">
    <mergeCell ref="A23:D23"/>
    <mergeCell ref="A24:D34"/>
    <mergeCell ref="F8:I14"/>
  </mergeCell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3"/>
  <sheetViews>
    <sheetView topLeftCell="A19" workbookViewId="0">
      <selection activeCell="H52" sqref="A31:H52"/>
    </sheetView>
  </sheetViews>
  <sheetFormatPr defaultRowHeight="15" x14ac:dyDescent="0.25"/>
  <cols>
    <col min="1" max="1" width="19.28515625" customWidth="1"/>
    <col min="2" max="2" width="45.7109375" customWidth="1"/>
    <col min="3" max="3" width="19.28515625" bestFit="1" customWidth="1"/>
    <col min="4" max="4" width="14.140625" customWidth="1"/>
    <col min="5" max="5" width="9.85546875" customWidth="1"/>
  </cols>
  <sheetData>
    <row r="1" spans="1:8" ht="15.75" x14ac:dyDescent="0.25">
      <c r="A1" s="189" t="s">
        <v>518</v>
      </c>
      <c r="B1" s="190" t="s">
        <v>519</v>
      </c>
      <c r="C1" s="190" t="s">
        <v>632</v>
      </c>
      <c r="D1" s="190" t="s">
        <v>633</v>
      </c>
      <c r="E1" s="191" t="s">
        <v>541</v>
      </c>
      <c r="F1" s="191" t="s">
        <v>542</v>
      </c>
      <c r="G1" s="191" t="s">
        <v>635</v>
      </c>
      <c r="H1" s="192" t="s">
        <v>543</v>
      </c>
    </row>
    <row r="2" spans="1:8" ht="15.75" x14ac:dyDescent="0.25">
      <c r="A2" s="186" t="s">
        <v>547</v>
      </c>
      <c r="B2" s="182" t="s">
        <v>548</v>
      </c>
      <c r="C2" s="182" t="s">
        <v>620</v>
      </c>
      <c r="D2" s="183">
        <v>1</v>
      </c>
      <c r="E2" s="184"/>
      <c r="F2" s="184"/>
      <c r="G2" s="184"/>
      <c r="H2" s="188"/>
    </row>
    <row r="3" spans="1:8" ht="15.75" x14ac:dyDescent="0.25">
      <c r="A3" s="186" t="s">
        <v>545</v>
      </c>
      <c r="B3" s="182" t="s">
        <v>546</v>
      </c>
      <c r="C3" s="182" t="s">
        <v>620</v>
      </c>
      <c r="D3" s="183">
        <v>1</v>
      </c>
      <c r="E3" s="184"/>
      <c r="F3" s="184"/>
      <c r="G3" s="184"/>
      <c r="H3" s="188"/>
    </row>
    <row r="4" spans="1:8" ht="15.75" x14ac:dyDescent="0.25">
      <c r="A4" s="186" t="s">
        <v>553</v>
      </c>
      <c r="B4" s="182" t="s">
        <v>554</v>
      </c>
      <c r="C4" s="182" t="s">
        <v>621</v>
      </c>
      <c r="D4" s="183">
        <v>2</v>
      </c>
      <c r="E4" s="184"/>
      <c r="F4" s="184"/>
      <c r="G4" s="184"/>
      <c r="H4" s="188"/>
    </row>
    <row r="5" spans="1:8" ht="15.75" x14ac:dyDescent="0.25">
      <c r="A5" s="186" t="s">
        <v>547</v>
      </c>
      <c r="B5" s="182" t="s">
        <v>550</v>
      </c>
      <c r="C5" s="182" t="s">
        <v>621</v>
      </c>
      <c r="D5" s="183">
        <v>2</v>
      </c>
      <c r="E5" s="184"/>
      <c r="F5" s="184"/>
      <c r="G5" s="184"/>
      <c r="H5" s="188"/>
    </row>
    <row r="6" spans="1:8" ht="15.75" x14ac:dyDescent="0.25">
      <c r="A6" s="186" t="s">
        <v>555</v>
      </c>
      <c r="B6" s="182" t="s">
        <v>556</v>
      </c>
      <c r="C6" s="182" t="s">
        <v>621</v>
      </c>
      <c r="D6" s="183">
        <v>2</v>
      </c>
      <c r="E6" s="184"/>
      <c r="F6" s="184"/>
      <c r="G6" s="184"/>
      <c r="H6" s="188"/>
    </row>
    <row r="7" spans="1:8" ht="15.75" x14ac:dyDescent="0.25">
      <c r="A7" s="186" t="s">
        <v>557</v>
      </c>
      <c r="B7" s="182" t="s">
        <v>558</v>
      </c>
      <c r="C7" s="182" t="s">
        <v>621</v>
      </c>
      <c r="D7" s="183">
        <v>2</v>
      </c>
      <c r="E7" s="184"/>
      <c r="F7" s="184"/>
      <c r="G7" s="184"/>
      <c r="H7" s="188"/>
    </row>
    <row r="8" spans="1:8" ht="15.75" x14ac:dyDescent="0.25">
      <c r="A8" s="186" t="s">
        <v>551</v>
      </c>
      <c r="B8" s="182" t="s">
        <v>552</v>
      </c>
      <c r="C8" s="182" t="s">
        <v>621</v>
      </c>
      <c r="D8" s="183">
        <v>2</v>
      </c>
      <c r="E8" s="184"/>
      <c r="F8" s="184"/>
      <c r="G8" s="184"/>
      <c r="H8" s="188"/>
    </row>
    <row r="9" spans="1:8" ht="15.75" x14ac:dyDescent="0.25">
      <c r="A9" s="186" t="s">
        <v>545</v>
      </c>
      <c r="B9" s="182" t="s">
        <v>549</v>
      </c>
      <c r="C9" s="182" t="s">
        <v>621</v>
      </c>
      <c r="D9" s="183">
        <v>2</v>
      </c>
      <c r="E9" s="184"/>
      <c r="F9" s="184"/>
      <c r="G9" s="184"/>
      <c r="H9" s="188"/>
    </row>
    <row r="10" spans="1:8" ht="15.75" x14ac:dyDescent="0.25">
      <c r="A10" s="185" t="s">
        <v>535</v>
      </c>
      <c r="B10" s="179" t="s">
        <v>536</v>
      </c>
      <c r="C10" s="182" t="s">
        <v>621</v>
      </c>
      <c r="D10" s="183">
        <v>2</v>
      </c>
      <c r="E10" s="133"/>
      <c r="F10" s="133"/>
      <c r="G10" s="133" t="s">
        <v>268</v>
      </c>
      <c r="H10" s="187"/>
    </row>
    <row r="11" spans="1:8" ht="15.75" x14ac:dyDescent="0.25">
      <c r="A11" s="186" t="s">
        <v>563</v>
      </c>
      <c r="B11" s="182" t="s">
        <v>564</v>
      </c>
      <c r="C11" s="182" t="s">
        <v>622</v>
      </c>
      <c r="D11" s="183">
        <v>3</v>
      </c>
      <c r="E11" s="184"/>
      <c r="F11" s="184"/>
      <c r="G11" s="184"/>
      <c r="H11" s="188"/>
    </row>
    <row r="12" spans="1:8" ht="15.75" x14ac:dyDescent="0.25">
      <c r="A12" s="186" t="s">
        <v>559</v>
      </c>
      <c r="B12" s="182" t="s">
        <v>560</v>
      </c>
      <c r="C12" s="182" t="s">
        <v>622</v>
      </c>
      <c r="D12" s="183">
        <v>3</v>
      </c>
      <c r="E12" s="184"/>
      <c r="F12" s="184"/>
      <c r="G12" s="184"/>
      <c r="H12" s="188"/>
    </row>
    <row r="13" spans="1:8" ht="15.75" x14ac:dyDescent="0.25">
      <c r="A13" s="186" t="s">
        <v>561</v>
      </c>
      <c r="B13" s="182" t="s">
        <v>562</v>
      </c>
      <c r="C13" s="182" t="s">
        <v>622</v>
      </c>
      <c r="D13" s="183">
        <v>3</v>
      </c>
      <c r="E13" s="184"/>
      <c r="F13" s="184"/>
      <c r="G13" s="184"/>
      <c r="H13" s="188"/>
    </row>
    <row r="14" spans="1:8" ht="15.75" x14ac:dyDescent="0.25">
      <c r="A14" s="186" t="s">
        <v>553</v>
      </c>
      <c r="B14" s="182" t="s">
        <v>566</v>
      </c>
      <c r="C14" s="182" t="s">
        <v>623</v>
      </c>
      <c r="D14" s="183">
        <v>4</v>
      </c>
      <c r="E14" s="184"/>
      <c r="F14" s="184"/>
      <c r="G14" s="184"/>
      <c r="H14" s="188"/>
    </row>
    <row r="15" spans="1:8" ht="15.75" x14ac:dyDescent="0.25">
      <c r="A15" s="186" t="s">
        <v>551</v>
      </c>
      <c r="B15" s="182" t="s">
        <v>565</v>
      </c>
      <c r="C15" s="182" t="s">
        <v>623</v>
      </c>
      <c r="D15" s="183">
        <v>4</v>
      </c>
      <c r="E15" s="184"/>
      <c r="F15" s="184"/>
      <c r="G15" s="184"/>
      <c r="H15" s="188"/>
    </row>
    <row r="16" spans="1:8" ht="15.75" x14ac:dyDescent="0.25">
      <c r="A16" s="186" t="s">
        <v>567</v>
      </c>
      <c r="B16" s="182" t="s">
        <v>568</v>
      </c>
      <c r="C16" s="182" t="s">
        <v>624</v>
      </c>
      <c r="D16" s="183">
        <v>5</v>
      </c>
      <c r="E16" s="184"/>
      <c r="F16" s="184"/>
      <c r="G16" s="184"/>
      <c r="H16" s="188"/>
    </row>
    <row r="17" spans="1:8" ht="15.75" x14ac:dyDescent="0.25">
      <c r="A17" s="186" t="s">
        <v>569</v>
      </c>
      <c r="B17" s="182" t="s">
        <v>570</v>
      </c>
      <c r="C17" s="182" t="s">
        <v>624</v>
      </c>
      <c r="D17" s="183">
        <v>5</v>
      </c>
      <c r="E17" s="184"/>
      <c r="F17" s="184"/>
      <c r="G17" s="184"/>
      <c r="H17" s="188"/>
    </row>
    <row r="18" spans="1:8" ht="15.75" x14ac:dyDescent="0.25">
      <c r="A18" s="186" t="s">
        <v>571</v>
      </c>
      <c r="B18" s="182" t="s">
        <v>572</v>
      </c>
      <c r="C18" s="182" t="s">
        <v>624</v>
      </c>
      <c r="D18" s="183">
        <v>5</v>
      </c>
      <c r="E18" s="184"/>
      <c r="F18" s="184"/>
      <c r="G18" s="184"/>
      <c r="H18" s="188"/>
    </row>
    <row r="19" spans="1:8" ht="15.75" x14ac:dyDescent="0.25">
      <c r="A19" s="186" t="s">
        <v>573</v>
      </c>
      <c r="B19" s="182" t="s">
        <v>574</v>
      </c>
      <c r="C19" s="182" t="s">
        <v>631</v>
      </c>
      <c r="D19" s="183">
        <v>6</v>
      </c>
      <c r="E19" s="184"/>
      <c r="F19" s="184"/>
      <c r="G19" s="184"/>
      <c r="H19" s="188"/>
    </row>
    <row r="20" spans="1:8" ht="15.75" x14ac:dyDescent="0.25">
      <c r="A20" s="186" t="s">
        <v>575</v>
      </c>
      <c r="B20" s="182" t="s">
        <v>576</v>
      </c>
      <c r="C20" s="182" t="s">
        <v>631</v>
      </c>
      <c r="D20" s="183">
        <v>6</v>
      </c>
      <c r="E20" s="184"/>
      <c r="F20" s="184"/>
      <c r="G20" s="184"/>
      <c r="H20" s="188"/>
    </row>
    <row r="21" spans="1:8" ht="15.75" x14ac:dyDescent="0.25">
      <c r="A21" s="185" t="s">
        <v>544</v>
      </c>
      <c r="B21" s="179" t="s">
        <v>522</v>
      </c>
      <c r="C21" s="179" t="s">
        <v>631</v>
      </c>
      <c r="D21" s="181">
        <v>6</v>
      </c>
      <c r="E21" s="133" t="s">
        <v>268</v>
      </c>
      <c r="F21" s="133"/>
      <c r="G21" s="133"/>
      <c r="H21" s="187"/>
    </row>
    <row r="22" spans="1:8" ht="15.75" x14ac:dyDescent="0.25">
      <c r="A22" s="185" t="s">
        <v>520</v>
      </c>
      <c r="B22" s="179" t="s">
        <v>521</v>
      </c>
      <c r="C22" s="179" t="s">
        <v>631</v>
      </c>
      <c r="D22" s="181">
        <v>6</v>
      </c>
      <c r="E22" s="133"/>
      <c r="F22" s="133"/>
      <c r="G22" s="133"/>
      <c r="H22" s="187"/>
    </row>
    <row r="23" spans="1:8" ht="15.75" x14ac:dyDescent="0.25">
      <c r="A23" s="186" t="s">
        <v>577</v>
      </c>
      <c r="B23" s="182" t="s">
        <v>578</v>
      </c>
      <c r="C23" s="182" t="s">
        <v>631</v>
      </c>
      <c r="D23" s="183">
        <v>6</v>
      </c>
      <c r="E23" s="184"/>
      <c r="F23" s="184"/>
      <c r="G23" s="184"/>
      <c r="H23" s="188"/>
    </row>
    <row r="24" spans="1:8" ht="15.75" x14ac:dyDescent="0.25">
      <c r="A24" s="186" t="s">
        <v>579</v>
      </c>
      <c r="B24" s="182" t="s">
        <v>580</v>
      </c>
      <c r="C24" s="182" t="s">
        <v>631</v>
      </c>
      <c r="D24" s="183">
        <v>6</v>
      </c>
      <c r="E24" s="184"/>
      <c r="F24" s="184"/>
      <c r="G24" s="184"/>
      <c r="H24" s="188"/>
    </row>
    <row r="25" spans="1:8" ht="15.75" x14ac:dyDescent="0.25">
      <c r="A25" s="185" t="s">
        <v>527</v>
      </c>
      <c r="B25" s="179" t="s">
        <v>528</v>
      </c>
      <c r="C25" s="182" t="s">
        <v>631</v>
      </c>
      <c r="D25" s="183">
        <v>6</v>
      </c>
      <c r="E25" s="133"/>
      <c r="F25" s="133"/>
      <c r="G25" s="133" t="s">
        <v>268</v>
      </c>
      <c r="H25" s="187"/>
    </row>
    <row r="26" spans="1:8" ht="15.75" x14ac:dyDescent="0.25">
      <c r="A26" s="186" t="s">
        <v>581</v>
      </c>
      <c r="B26" s="182" t="s">
        <v>582</v>
      </c>
      <c r="C26" s="182" t="s">
        <v>631</v>
      </c>
      <c r="D26" s="183">
        <v>6</v>
      </c>
      <c r="E26" s="184"/>
      <c r="F26" s="184"/>
      <c r="G26" s="184"/>
      <c r="H26" s="188"/>
    </row>
    <row r="27" spans="1:8" ht="15.75" x14ac:dyDescent="0.25">
      <c r="A27" s="185" t="s">
        <v>523</v>
      </c>
      <c r="B27" s="179" t="s">
        <v>524</v>
      </c>
      <c r="C27" s="182" t="s">
        <v>631</v>
      </c>
      <c r="D27" s="183">
        <v>6</v>
      </c>
      <c r="E27" s="133"/>
      <c r="F27" s="133"/>
      <c r="G27" s="133" t="s">
        <v>268</v>
      </c>
      <c r="H27" s="187"/>
    </row>
    <row r="28" spans="1:8" ht="15.75" x14ac:dyDescent="0.25">
      <c r="A28" s="185" t="s">
        <v>525</v>
      </c>
      <c r="B28" s="179" t="s">
        <v>526</v>
      </c>
      <c r="C28" s="182" t="s">
        <v>631</v>
      </c>
      <c r="D28" s="183">
        <v>6</v>
      </c>
      <c r="E28" s="133"/>
      <c r="F28" s="133"/>
      <c r="G28" s="133" t="s">
        <v>268</v>
      </c>
      <c r="H28" s="187"/>
    </row>
    <row r="29" spans="1:8" ht="15.75" x14ac:dyDescent="0.25">
      <c r="A29" s="185" t="s">
        <v>537</v>
      </c>
      <c r="B29" s="179" t="s">
        <v>538</v>
      </c>
      <c r="C29" s="182" t="s">
        <v>631</v>
      </c>
      <c r="D29" s="183">
        <v>6</v>
      </c>
      <c r="E29" s="133"/>
      <c r="F29" s="133"/>
      <c r="G29" s="133" t="s">
        <v>268</v>
      </c>
      <c r="H29" s="187"/>
    </row>
    <row r="30" spans="1:8" ht="15.75" x14ac:dyDescent="0.25">
      <c r="A30" s="185" t="s">
        <v>529</v>
      </c>
      <c r="B30" s="179" t="s">
        <v>530</v>
      </c>
      <c r="C30" s="182" t="s">
        <v>631</v>
      </c>
      <c r="D30" s="183">
        <v>6</v>
      </c>
      <c r="E30" s="133"/>
      <c r="F30" s="133"/>
      <c r="G30" s="133" t="s">
        <v>268</v>
      </c>
      <c r="H30" s="187"/>
    </row>
    <row r="31" spans="1:8" ht="15.75" x14ac:dyDescent="0.25">
      <c r="A31" s="185" t="s">
        <v>539</v>
      </c>
      <c r="B31" s="179" t="s">
        <v>540</v>
      </c>
      <c r="C31" s="182" t="s">
        <v>631</v>
      </c>
      <c r="D31" s="183">
        <v>6</v>
      </c>
      <c r="E31" s="133"/>
      <c r="F31" s="133"/>
      <c r="G31" s="133" t="s">
        <v>268</v>
      </c>
      <c r="H31" s="187"/>
    </row>
    <row r="32" spans="1:8" ht="15.75" x14ac:dyDescent="0.25">
      <c r="A32" s="186" t="s">
        <v>584</v>
      </c>
      <c r="B32" s="182" t="s">
        <v>585</v>
      </c>
      <c r="C32" s="182" t="s">
        <v>625</v>
      </c>
      <c r="D32" s="183">
        <v>7</v>
      </c>
      <c r="E32" s="184"/>
      <c r="F32" s="184"/>
      <c r="G32" s="184"/>
      <c r="H32" s="188"/>
    </row>
    <row r="33" spans="1:8" ht="15.75" x14ac:dyDescent="0.25">
      <c r="A33" s="186" t="s">
        <v>583</v>
      </c>
      <c r="B33" s="182" t="s">
        <v>634</v>
      </c>
      <c r="C33" s="182" t="s">
        <v>625</v>
      </c>
      <c r="D33" s="183">
        <v>7</v>
      </c>
      <c r="E33" s="184"/>
      <c r="F33" s="184"/>
      <c r="G33" s="184"/>
      <c r="H33" s="188"/>
    </row>
    <row r="34" spans="1:8" ht="15.75" x14ac:dyDescent="0.25">
      <c r="A34" s="186" t="s">
        <v>586</v>
      </c>
      <c r="B34" s="182" t="s">
        <v>587</v>
      </c>
      <c r="C34" s="182" t="s">
        <v>587</v>
      </c>
      <c r="D34" s="183">
        <v>8</v>
      </c>
      <c r="E34" s="184"/>
      <c r="F34" s="184"/>
      <c r="G34" s="184"/>
      <c r="H34" s="188"/>
    </row>
    <row r="35" spans="1:8" ht="15.75" x14ac:dyDescent="0.25">
      <c r="A35" s="186" t="s">
        <v>588</v>
      </c>
      <c r="B35" s="182" t="s">
        <v>589</v>
      </c>
      <c r="C35" s="182" t="s">
        <v>626</v>
      </c>
      <c r="D35" s="183">
        <v>9</v>
      </c>
      <c r="E35" s="184"/>
      <c r="F35" s="184"/>
      <c r="G35" s="184"/>
      <c r="H35" s="188"/>
    </row>
    <row r="36" spans="1:8" ht="15.75" x14ac:dyDescent="0.25">
      <c r="A36" s="186" t="s">
        <v>590</v>
      </c>
      <c r="B36" s="182" t="s">
        <v>591</v>
      </c>
      <c r="C36" s="182" t="s">
        <v>627</v>
      </c>
      <c r="D36" s="183">
        <v>10</v>
      </c>
      <c r="E36" s="184"/>
      <c r="F36" s="184"/>
      <c r="G36" s="184"/>
      <c r="H36" s="188"/>
    </row>
    <row r="37" spans="1:8" ht="15.75" x14ac:dyDescent="0.25">
      <c r="A37" s="186" t="s">
        <v>592</v>
      </c>
      <c r="B37" s="182" t="s">
        <v>593</v>
      </c>
      <c r="C37" s="182" t="s">
        <v>628</v>
      </c>
      <c r="D37" s="183">
        <v>11</v>
      </c>
      <c r="E37" s="184"/>
      <c r="F37" s="184"/>
      <c r="G37" s="184"/>
      <c r="H37" s="188"/>
    </row>
    <row r="38" spans="1:8" ht="15.75" x14ac:dyDescent="0.25">
      <c r="A38" s="185" t="s">
        <v>533</v>
      </c>
      <c r="B38" s="179" t="s">
        <v>534</v>
      </c>
      <c r="C38" s="182" t="s">
        <v>628</v>
      </c>
      <c r="D38" s="183">
        <v>11</v>
      </c>
      <c r="E38" s="133"/>
      <c r="F38" s="133"/>
      <c r="G38" s="133" t="s">
        <v>268</v>
      </c>
      <c r="H38" s="187"/>
    </row>
    <row r="39" spans="1:8" ht="15.75" x14ac:dyDescent="0.25">
      <c r="A39" s="186" t="s">
        <v>594</v>
      </c>
      <c r="B39" s="182" t="s">
        <v>595</v>
      </c>
      <c r="C39" s="182" t="s">
        <v>629</v>
      </c>
      <c r="D39" s="183">
        <v>12</v>
      </c>
      <c r="E39" s="184"/>
      <c r="F39" s="184"/>
      <c r="G39" s="184"/>
      <c r="H39" s="188"/>
    </row>
    <row r="40" spans="1:8" ht="15.75" x14ac:dyDescent="0.25">
      <c r="A40" s="185" t="s">
        <v>531</v>
      </c>
      <c r="B40" s="179" t="s">
        <v>532</v>
      </c>
      <c r="C40" s="182" t="s">
        <v>629</v>
      </c>
      <c r="D40" s="183">
        <v>12</v>
      </c>
      <c r="E40" s="133"/>
      <c r="F40" s="133"/>
      <c r="G40" s="133" t="s">
        <v>268</v>
      </c>
      <c r="H40" s="187"/>
    </row>
    <row r="41" spans="1:8" ht="15.75" x14ac:dyDescent="0.25">
      <c r="A41" s="186" t="s">
        <v>596</v>
      </c>
      <c r="B41" s="182" t="s">
        <v>597</v>
      </c>
      <c r="C41" s="182" t="s">
        <v>630</v>
      </c>
      <c r="D41" s="183">
        <v>13</v>
      </c>
      <c r="E41" s="184"/>
      <c r="F41" s="184"/>
      <c r="G41" s="184"/>
      <c r="H41" s="188"/>
    </row>
    <row r="42" spans="1:8" ht="15.75" x14ac:dyDescent="0.25">
      <c r="A42" s="186" t="s">
        <v>608</v>
      </c>
      <c r="B42" s="182" t="s">
        <v>609</v>
      </c>
      <c r="C42" s="182" t="s">
        <v>599</v>
      </c>
      <c r="D42" s="183">
        <v>14</v>
      </c>
      <c r="E42" s="184"/>
      <c r="F42" s="184"/>
      <c r="G42" s="184"/>
      <c r="H42" s="188"/>
    </row>
    <row r="43" spans="1:8" ht="15.75" x14ac:dyDescent="0.25">
      <c r="A43" s="186" t="s">
        <v>604</v>
      </c>
      <c r="B43" s="182" t="s">
        <v>605</v>
      </c>
      <c r="C43" s="182" t="s">
        <v>599</v>
      </c>
      <c r="D43" s="183">
        <v>14</v>
      </c>
      <c r="E43" s="184"/>
      <c r="F43" s="184"/>
      <c r="G43" s="184"/>
      <c r="H43" s="188"/>
    </row>
    <row r="44" spans="1:8" ht="15.75" x14ac:dyDescent="0.25">
      <c r="A44" s="186" t="s">
        <v>606</v>
      </c>
      <c r="B44" s="182" t="s">
        <v>607</v>
      </c>
      <c r="C44" s="182" t="s">
        <v>599</v>
      </c>
      <c r="D44" s="183">
        <v>14</v>
      </c>
      <c r="E44" s="184"/>
      <c r="F44" s="184"/>
      <c r="G44" s="184"/>
      <c r="H44" s="188"/>
    </row>
    <row r="45" spans="1:8" ht="15.75" x14ac:dyDescent="0.25">
      <c r="A45" s="186" t="s">
        <v>610</v>
      </c>
      <c r="B45" s="182" t="s">
        <v>611</v>
      </c>
      <c r="C45" s="182" t="s">
        <v>599</v>
      </c>
      <c r="D45" s="183">
        <v>14</v>
      </c>
      <c r="E45" s="184"/>
      <c r="F45" s="184"/>
      <c r="G45" s="184"/>
      <c r="H45" s="188"/>
    </row>
    <row r="46" spans="1:8" ht="15.75" x14ac:dyDescent="0.25">
      <c r="A46" s="186" t="s">
        <v>612</v>
      </c>
      <c r="B46" s="182" t="s">
        <v>613</v>
      </c>
      <c r="C46" s="182" t="s">
        <v>599</v>
      </c>
      <c r="D46" s="183">
        <v>14</v>
      </c>
      <c r="E46" s="184"/>
      <c r="F46" s="184"/>
      <c r="G46" s="184"/>
      <c r="H46" s="188"/>
    </row>
    <row r="47" spans="1:8" ht="15.75" x14ac:dyDescent="0.25">
      <c r="A47" s="186" t="s">
        <v>600</v>
      </c>
      <c r="B47" s="182" t="s">
        <v>601</v>
      </c>
      <c r="C47" s="182" t="s">
        <v>599</v>
      </c>
      <c r="D47" s="183">
        <v>14</v>
      </c>
      <c r="E47" s="184"/>
      <c r="F47" s="184"/>
      <c r="G47" s="184"/>
      <c r="H47" s="188"/>
    </row>
    <row r="48" spans="1:8" ht="15.75" x14ac:dyDescent="0.25">
      <c r="A48" s="186" t="s">
        <v>614</v>
      </c>
      <c r="B48" s="182" t="s">
        <v>615</v>
      </c>
      <c r="C48" s="182" t="s">
        <v>599</v>
      </c>
      <c r="D48" s="183">
        <v>14</v>
      </c>
      <c r="E48" s="184"/>
      <c r="F48" s="184"/>
      <c r="G48" s="184"/>
      <c r="H48" s="188"/>
    </row>
    <row r="49" spans="1:8" ht="15.75" x14ac:dyDescent="0.25">
      <c r="A49" s="186" t="s">
        <v>598</v>
      </c>
      <c r="B49" s="182" t="s">
        <v>599</v>
      </c>
      <c r="C49" s="182" t="s">
        <v>599</v>
      </c>
      <c r="D49" s="183">
        <v>14</v>
      </c>
      <c r="E49" s="184"/>
      <c r="F49" s="184"/>
      <c r="G49" s="184"/>
      <c r="H49" s="188"/>
    </row>
    <row r="50" spans="1:8" ht="15.75" x14ac:dyDescent="0.25">
      <c r="A50" s="186" t="s">
        <v>602</v>
      </c>
      <c r="B50" s="182" t="s">
        <v>603</v>
      </c>
      <c r="C50" s="182" t="s">
        <v>599</v>
      </c>
      <c r="D50" s="183">
        <v>14</v>
      </c>
      <c r="E50" s="184"/>
      <c r="F50" s="184"/>
      <c r="G50" s="184"/>
      <c r="H50" s="188"/>
    </row>
    <row r="51" spans="1:8" ht="15.75" x14ac:dyDescent="0.25">
      <c r="A51" s="186" t="s">
        <v>616</v>
      </c>
      <c r="B51" s="182" t="s">
        <v>617</v>
      </c>
      <c r="C51" s="182" t="s">
        <v>599</v>
      </c>
      <c r="D51" s="183">
        <v>14</v>
      </c>
      <c r="E51" s="184"/>
      <c r="F51" s="184"/>
      <c r="G51" s="184"/>
      <c r="H51" s="188"/>
    </row>
    <row r="52" spans="1:8" ht="15.75" x14ac:dyDescent="0.25">
      <c r="A52" s="193" t="s">
        <v>618</v>
      </c>
      <c r="B52" s="194" t="s">
        <v>619</v>
      </c>
      <c r="C52" s="194" t="s">
        <v>599</v>
      </c>
      <c r="D52" s="195">
        <v>14</v>
      </c>
      <c r="E52" s="196"/>
      <c r="F52" s="196"/>
      <c r="G52" s="196"/>
      <c r="H52" s="197"/>
    </row>
    <row r="53" spans="1:8" ht="15.75" x14ac:dyDescent="0.25">
      <c r="C53" s="180"/>
    </row>
  </sheetData>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
  <sheetViews>
    <sheetView zoomScale="115" zoomScaleNormal="115" workbookViewId="0">
      <selection activeCell="A17" sqref="A17"/>
    </sheetView>
  </sheetViews>
  <sheetFormatPr defaultColWidth="9.28515625" defaultRowHeight="15.75" x14ac:dyDescent="0.25"/>
  <cols>
    <col min="1" max="1" width="9.28515625" style="293"/>
    <col min="2" max="2" width="14.28515625" style="292" customWidth="1"/>
    <col min="3" max="3" width="26.5703125" style="299" customWidth="1"/>
    <col min="4" max="4" width="46.42578125" style="292" customWidth="1"/>
    <col min="5" max="5" width="9.28515625" style="292"/>
    <col min="6" max="6" width="37.5703125" style="292" customWidth="1"/>
    <col min="7" max="16384" width="9.28515625" style="292"/>
  </cols>
  <sheetData>
    <row r="1" spans="1:6" x14ac:dyDescent="0.25">
      <c r="A1" s="300" t="s">
        <v>517</v>
      </c>
      <c r="B1" s="296" t="s">
        <v>516</v>
      </c>
      <c r="C1" s="296" t="s">
        <v>1600</v>
      </c>
      <c r="D1" s="301" t="s">
        <v>743</v>
      </c>
    </row>
    <row r="2" spans="1:6" x14ac:dyDescent="0.25">
      <c r="A2" s="294">
        <v>1433</v>
      </c>
      <c r="B2" s="297"/>
      <c r="C2" s="297" t="s">
        <v>515</v>
      </c>
      <c r="D2" s="297"/>
      <c r="F2" s="302" t="s">
        <v>3</v>
      </c>
    </row>
    <row r="3" spans="1:6" x14ac:dyDescent="0.25">
      <c r="A3" s="295">
        <v>20</v>
      </c>
      <c r="B3" s="295" t="s">
        <v>1576</v>
      </c>
      <c r="C3" s="298" t="s">
        <v>1577</v>
      </c>
      <c r="D3" s="295" t="s">
        <v>1578</v>
      </c>
      <c r="F3" s="273" t="s">
        <v>1601</v>
      </c>
    </row>
    <row r="4" spans="1:6" ht="31.5" x14ac:dyDescent="0.25">
      <c r="A4" s="295">
        <v>21</v>
      </c>
      <c r="B4" s="295" t="s">
        <v>1579</v>
      </c>
      <c r="C4" s="298" t="s">
        <v>1577</v>
      </c>
      <c r="D4" s="295" t="s">
        <v>1580</v>
      </c>
      <c r="F4" s="303" t="s">
        <v>1602</v>
      </c>
    </row>
    <row r="5" spans="1:6" ht="31.5" x14ac:dyDescent="0.25">
      <c r="A5" s="295">
        <v>22</v>
      </c>
      <c r="B5" s="295" t="s">
        <v>1579</v>
      </c>
      <c r="C5" s="295" t="s">
        <v>1581</v>
      </c>
      <c r="D5" s="295" t="s">
        <v>1582</v>
      </c>
    </row>
    <row r="6" spans="1:6" x14ac:dyDescent="0.25">
      <c r="A6" s="295">
        <v>23</v>
      </c>
      <c r="B6" s="295" t="s">
        <v>1576</v>
      </c>
      <c r="C6" s="298" t="s">
        <v>1583</v>
      </c>
      <c r="D6" s="295" t="s">
        <v>1584</v>
      </c>
    </row>
    <row r="7" spans="1:6" ht="31.5" x14ac:dyDescent="0.25">
      <c r="A7" s="295">
        <v>25</v>
      </c>
      <c r="B7" s="295" t="s">
        <v>1576</v>
      </c>
      <c r="C7" s="298" t="s">
        <v>1585</v>
      </c>
      <c r="D7" s="295" t="s">
        <v>1586</v>
      </c>
    </row>
    <row r="8" spans="1:6" x14ac:dyDescent="0.25">
      <c r="A8" s="295">
        <v>37</v>
      </c>
      <c r="B8" s="295" t="s">
        <v>1576</v>
      </c>
      <c r="C8" s="298" t="s">
        <v>1587</v>
      </c>
      <c r="D8" s="295"/>
    </row>
    <row r="9" spans="1:6" x14ac:dyDescent="0.25">
      <c r="A9" s="295">
        <v>80</v>
      </c>
      <c r="B9" s="295" t="s">
        <v>1588</v>
      </c>
      <c r="C9" s="295" t="s">
        <v>1589</v>
      </c>
      <c r="D9" s="295"/>
    </row>
    <row r="10" spans="1:6" ht="31.5" x14ac:dyDescent="0.25">
      <c r="A10" s="295">
        <v>110</v>
      </c>
      <c r="B10" s="295" t="s">
        <v>1588</v>
      </c>
      <c r="C10" s="298" t="s">
        <v>1590</v>
      </c>
      <c r="D10" s="295"/>
    </row>
    <row r="11" spans="1:6" ht="31.5" x14ac:dyDescent="0.25">
      <c r="A11" s="295">
        <v>119</v>
      </c>
      <c r="B11" s="295" t="s">
        <v>1576</v>
      </c>
      <c r="C11" s="298" t="s">
        <v>1591</v>
      </c>
      <c r="D11" s="295" t="s">
        <v>1592</v>
      </c>
    </row>
    <row r="12" spans="1:6" ht="31.5" x14ac:dyDescent="0.25">
      <c r="A12" s="295">
        <v>123</v>
      </c>
      <c r="B12" s="295" t="s">
        <v>1576</v>
      </c>
      <c r="C12" s="298" t="s">
        <v>1593</v>
      </c>
      <c r="D12" s="279" t="s">
        <v>1594</v>
      </c>
    </row>
    <row r="13" spans="1:6" ht="31.5" x14ac:dyDescent="0.25">
      <c r="A13" s="295">
        <v>143</v>
      </c>
      <c r="B13" s="295" t="s">
        <v>1576</v>
      </c>
      <c r="C13" s="298" t="s">
        <v>1595</v>
      </c>
      <c r="D13" s="279" t="s">
        <v>1596</v>
      </c>
    </row>
    <row r="14" spans="1:6" x14ac:dyDescent="0.25">
      <c r="A14" s="295">
        <v>443</v>
      </c>
      <c r="B14" s="295" t="s">
        <v>1588</v>
      </c>
      <c r="C14" s="295" t="s">
        <v>1597</v>
      </c>
      <c r="D14" s="295"/>
    </row>
    <row r="15" spans="1:6" x14ac:dyDescent="0.25">
      <c r="A15" s="295">
        <v>25565</v>
      </c>
      <c r="B15" s="295"/>
      <c r="C15" s="295" t="s">
        <v>1598</v>
      </c>
      <c r="D15" s="295"/>
    </row>
    <row r="16" spans="1:6" x14ac:dyDescent="0.25">
      <c r="A16" s="295">
        <v>32400</v>
      </c>
      <c r="B16" s="295"/>
      <c r="C16" s="295" t="s">
        <v>1599</v>
      </c>
      <c r="D16" s="295"/>
    </row>
  </sheetData>
  <hyperlinks>
    <hyperlink ref="C3" r:id="rId1" tooltip="File Transfer Protocol" display="https://en.wikipedia.org/wiki/File_Transfer_Protocol"/>
    <hyperlink ref="C4" r:id="rId2" tooltip="File Transfer Protocol" display="https://en.wikipedia.org/wiki/File_Transfer_Protocol"/>
    <hyperlink ref="C6" r:id="rId3" tooltip="Telnet" display="https://en.wikipedia.org/wiki/Telnet"/>
    <hyperlink ref="C7" r:id="rId4" tooltip="Simple Mail Transfer Protocol" display="https://en.wikipedia.org/wiki/Simple_Mail_Transfer_Protocol"/>
    <hyperlink ref="C8" r:id="rId5" tooltip="Time Protocol" display="https://en.wikipedia.org/wiki/Time_Protocol"/>
    <hyperlink ref="C10" r:id="rId6" location="cite_note-apple-kb-HT202944-11" display="https://en.wikipedia.org/wiki/List_of_TCP_and_UDP_port_numbers - cite_note-apple-kb-HT202944-11"/>
    <hyperlink ref="C11" r:id="rId7" tooltip="Network News Transfer Protocol" display="https://en.wikipedia.org/wiki/Network_News_Transfer_Protocol"/>
    <hyperlink ref="C12" r:id="rId8" tooltip="Network Time Protocol" display="https://en.wikipedia.org/wiki/Network_Time_Protocol"/>
    <hyperlink ref="C13" r:id="rId9" tooltip="Internet Message Access Protocol" display="https://en.wikipedia.org/wiki/Internet_Message_Access_Protocol"/>
    <hyperlink ref="F4" r:id="rId10"/>
  </hyperlinks>
  <pageMargins left="0.7" right="0.7" top="0.75" bottom="0.75" header="0.3" footer="0.3"/>
  <pageSetup orientation="portrait" verticalDpi="0" r:id="rId11"/>
  <tableParts count="1">
    <tablePart r:id="rId1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1"/>
  <sheetViews>
    <sheetView workbookViewId="0">
      <selection activeCell="B5" sqref="B5"/>
    </sheetView>
  </sheetViews>
  <sheetFormatPr defaultRowHeight="15.75" x14ac:dyDescent="0.25"/>
  <cols>
    <col min="1" max="11" width="9.140625" style="21"/>
    <col min="12" max="12" width="16.42578125" style="21" customWidth="1"/>
    <col min="13" max="15" width="9.140625" style="21"/>
    <col min="16" max="16" width="21.140625" style="21" customWidth="1"/>
    <col min="18" max="16384" width="9.140625" style="21"/>
  </cols>
  <sheetData>
    <row r="1" spans="1:17" ht="16.5" thickBot="1" x14ac:dyDescent="0.3">
      <c r="C1" s="357" t="s">
        <v>514</v>
      </c>
      <c r="D1" s="357"/>
      <c r="E1" s="357"/>
      <c r="F1" s="178">
        <v>1</v>
      </c>
      <c r="G1" s="177">
        <v>1500</v>
      </c>
      <c r="Q1" s="21"/>
    </row>
    <row r="3" spans="1:17" ht="16.5" thickBot="1" x14ac:dyDescent="0.3"/>
    <row r="4" spans="1:17" ht="16.5" thickBot="1" x14ac:dyDescent="0.3">
      <c r="A4" s="176" t="s">
        <v>513</v>
      </c>
      <c r="B4" s="175">
        <v>1</v>
      </c>
      <c r="C4" s="175">
        <v>2</v>
      </c>
      <c r="D4" s="175">
        <v>3</v>
      </c>
      <c r="E4" s="175">
        <v>4</v>
      </c>
      <c r="F4" s="175">
        <v>5</v>
      </c>
      <c r="G4" s="175">
        <v>6</v>
      </c>
      <c r="H4" s="175">
        <v>7</v>
      </c>
      <c r="I4" s="175">
        <v>8</v>
      </c>
      <c r="J4" s="175">
        <v>9</v>
      </c>
      <c r="K4" s="175">
        <v>10</v>
      </c>
      <c r="L4" s="174" t="s">
        <v>512</v>
      </c>
      <c r="Q4" s="21"/>
    </row>
    <row r="5" spans="1:17" x14ac:dyDescent="0.25">
      <c r="A5" s="173" t="s">
        <v>511</v>
      </c>
      <c r="B5" s="172">
        <v>738</v>
      </c>
      <c r="C5" s="172">
        <v>989</v>
      </c>
      <c r="D5" s="172">
        <v>1074</v>
      </c>
      <c r="E5" s="172">
        <v>122</v>
      </c>
      <c r="F5" s="172">
        <v>212</v>
      </c>
      <c r="G5" s="172">
        <v>517</v>
      </c>
      <c r="H5" s="172">
        <v>192</v>
      </c>
      <c r="I5" s="172">
        <v>303</v>
      </c>
      <c r="J5" s="172">
        <v>1193</v>
      </c>
      <c r="K5" s="171">
        <v>700</v>
      </c>
      <c r="L5" s="170">
        <f t="shared" ref="L5:L16" si="0">SUM(B5:K5)</f>
        <v>6040</v>
      </c>
      <c r="Q5" s="21"/>
    </row>
    <row r="6" spans="1:17" x14ac:dyDescent="0.25">
      <c r="A6" s="169" t="s">
        <v>510</v>
      </c>
      <c r="B6" s="168">
        <v>602</v>
      </c>
      <c r="C6" s="168">
        <v>229</v>
      </c>
      <c r="D6" s="168">
        <v>1275</v>
      </c>
      <c r="E6" s="168">
        <v>933</v>
      </c>
      <c r="F6" s="168">
        <v>1424</v>
      </c>
      <c r="G6" s="168">
        <v>1023</v>
      </c>
      <c r="H6" s="168">
        <v>678</v>
      </c>
      <c r="I6" s="168">
        <v>74</v>
      </c>
      <c r="J6" s="168">
        <v>19</v>
      </c>
      <c r="K6" s="167">
        <v>936</v>
      </c>
      <c r="L6" s="166">
        <f t="shared" si="0"/>
        <v>7193</v>
      </c>
      <c r="Q6" s="21"/>
    </row>
    <row r="7" spans="1:17" x14ac:dyDescent="0.25">
      <c r="A7" s="169" t="s">
        <v>509</v>
      </c>
      <c r="B7" s="168">
        <v>417</v>
      </c>
      <c r="C7" s="168">
        <v>1478</v>
      </c>
      <c r="D7" s="168">
        <v>893</v>
      </c>
      <c r="E7" s="168">
        <v>925</v>
      </c>
      <c r="F7" s="168">
        <v>132</v>
      </c>
      <c r="G7" s="168">
        <v>699</v>
      </c>
      <c r="H7" s="168">
        <v>888</v>
      </c>
      <c r="I7" s="168">
        <v>1437</v>
      </c>
      <c r="J7" s="168">
        <v>1445</v>
      </c>
      <c r="K7" s="167">
        <v>1106</v>
      </c>
      <c r="L7" s="166">
        <f t="shared" si="0"/>
        <v>9420</v>
      </c>
      <c r="Q7" s="21"/>
    </row>
    <row r="8" spans="1:17" x14ac:dyDescent="0.25">
      <c r="A8" s="169" t="s">
        <v>508</v>
      </c>
      <c r="B8" s="168">
        <v>689</v>
      </c>
      <c r="C8" s="168">
        <v>203</v>
      </c>
      <c r="D8" s="168">
        <v>1186</v>
      </c>
      <c r="E8" s="168">
        <v>307</v>
      </c>
      <c r="F8" s="168">
        <v>797</v>
      </c>
      <c r="G8" s="168">
        <v>1492</v>
      </c>
      <c r="H8" s="168">
        <v>388</v>
      </c>
      <c r="I8" s="168">
        <v>257</v>
      </c>
      <c r="J8" s="168">
        <v>395</v>
      </c>
      <c r="K8" s="167">
        <v>1162</v>
      </c>
      <c r="L8" s="166">
        <f t="shared" si="0"/>
        <v>6876</v>
      </c>
      <c r="Q8" s="21"/>
    </row>
    <row r="9" spans="1:17" x14ac:dyDescent="0.25">
      <c r="A9" s="169" t="s">
        <v>507</v>
      </c>
      <c r="B9" s="168">
        <v>1236</v>
      </c>
      <c r="C9" s="168">
        <v>186</v>
      </c>
      <c r="D9" s="168">
        <v>1297</v>
      </c>
      <c r="E9" s="168">
        <v>1372</v>
      </c>
      <c r="F9" s="168">
        <v>515</v>
      </c>
      <c r="G9" s="168">
        <v>47</v>
      </c>
      <c r="H9" s="168">
        <v>443</v>
      </c>
      <c r="I9" s="168">
        <v>1357</v>
      </c>
      <c r="J9" s="168">
        <v>77</v>
      </c>
      <c r="K9" s="167">
        <v>18</v>
      </c>
      <c r="L9" s="166">
        <f t="shared" si="0"/>
        <v>6548</v>
      </c>
      <c r="Q9" s="21"/>
    </row>
    <row r="10" spans="1:17" x14ac:dyDescent="0.25">
      <c r="A10" s="169" t="s">
        <v>506</v>
      </c>
      <c r="B10" s="168">
        <v>1426</v>
      </c>
      <c r="C10" s="168">
        <v>1064</v>
      </c>
      <c r="D10" s="168">
        <v>1204</v>
      </c>
      <c r="E10" s="168">
        <v>1207</v>
      </c>
      <c r="F10" s="168">
        <v>1135</v>
      </c>
      <c r="G10" s="168">
        <v>329</v>
      </c>
      <c r="H10" s="168">
        <v>757</v>
      </c>
      <c r="I10" s="168">
        <v>614</v>
      </c>
      <c r="J10" s="168">
        <v>643</v>
      </c>
      <c r="K10" s="167">
        <v>1443</v>
      </c>
      <c r="L10" s="166">
        <f t="shared" si="0"/>
        <v>9822</v>
      </c>
      <c r="Q10" s="21"/>
    </row>
    <row r="11" spans="1:17" x14ac:dyDescent="0.25">
      <c r="A11" s="169" t="s">
        <v>505</v>
      </c>
      <c r="B11" s="168">
        <v>1193</v>
      </c>
      <c r="C11" s="168">
        <v>936</v>
      </c>
      <c r="D11" s="168">
        <v>933</v>
      </c>
      <c r="E11" s="168">
        <v>1276</v>
      </c>
      <c r="F11" s="168">
        <v>743</v>
      </c>
      <c r="G11" s="168">
        <v>179</v>
      </c>
      <c r="H11" s="168">
        <v>712</v>
      </c>
      <c r="I11" s="168">
        <v>127</v>
      </c>
      <c r="J11" s="168">
        <v>693</v>
      </c>
      <c r="K11" s="167">
        <v>1226</v>
      </c>
      <c r="L11" s="166">
        <f t="shared" si="0"/>
        <v>8018</v>
      </c>
      <c r="Q11" s="21"/>
    </row>
    <row r="12" spans="1:17" x14ac:dyDescent="0.25">
      <c r="A12" s="169" t="s">
        <v>504</v>
      </c>
      <c r="B12" s="168">
        <v>865</v>
      </c>
      <c r="C12" s="168">
        <v>817</v>
      </c>
      <c r="D12" s="168">
        <v>1069</v>
      </c>
      <c r="E12" s="168">
        <v>959</v>
      </c>
      <c r="F12" s="168">
        <v>884</v>
      </c>
      <c r="G12" s="168">
        <v>18</v>
      </c>
      <c r="H12" s="168">
        <v>1308</v>
      </c>
      <c r="I12" s="168">
        <v>1093</v>
      </c>
      <c r="J12" s="168">
        <v>916</v>
      </c>
      <c r="K12" s="167">
        <v>665</v>
      </c>
      <c r="L12" s="166">
        <f t="shared" si="0"/>
        <v>8594</v>
      </c>
      <c r="Q12" s="21"/>
    </row>
    <row r="13" spans="1:17" x14ac:dyDescent="0.25">
      <c r="A13" s="169" t="s">
        <v>503</v>
      </c>
      <c r="B13" s="168">
        <v>903</v>
      </c>
      <c r="C13" s="168">
        <v>1125</v>
      </c>
      <c r="D13" s="168">
        <v>744</v>
      </c>
      <c r="E13" s="168">
        <v>865</v>
      </c>
      <c r="F13" s="168">
        <v>722</v>
      </c>
      <c r="G13" s="168">
        <v>410</v>
      </c>
      <c r="H13" s="168">
        <v>1260</v>
      </c>
      <c r="I13" s="168">
        <v>596</v>
      </c>
      <c r="J13" s="168">
        <v>893</v>
      </c>
      <c r="K13" s="167">
        <v>430</v>
      </c>
      <c r="L13" s="166">
        <f t="shared" si="0"/>
        <v>7948</v>
      </c>
      <c r="Q13" s="21"/>
    </row>
    <row r="14" spans="1:17" x14ac:dyDescent="0.25">
      <c r="A14" s="169" t="s">
        <v>257</v>
      </c>
      <c r="B14" s="168">
        <v>117</v>
      </c>
      <c r="C14" s="168">
        <v>1202</v>
      </c>
      <c r="D14" s="168">
        <v>958</v>
      </c>
      <c r="E14" s="168">
        <v>1000</v>
      </c>
      <c r="F14" s="168">
        <v>76</v>
      </c>
      <c r="G14" s="168">
        <v>932</v>
      </c>
      <c r="H14" s="168">
        <v>1298</v>
      </c>
      <c r="I14" s="168">
        <v>88</v>
      </c>
      <c r="J14" s="168">
        <v>296</v>
      </c>
      <c r="K14" s="167">
        <v>1347</v>
      </c>
      <c r="L14" s="166">
        <f t="shared" si="0"/>
        <v>7314</v>
      </c>
      <c r="Q14" s="21"/>
    </row>
    <row r="15" spans="1:17" x14ac:dyDescent="0.25">
      <c r="A15" s="169" t="s">
        <v>502</v>
      </c>
      <c r="B15" s="168">
        <v>1171</v>
      </c>
      <c r="C15" s="168">
        <v>300</v>
      </c>
      <c r="D15" s="168">
        <v>1120</v>
      </c>
      <c r="E15" s="168">
        <v>382</v>
      </c>
      <c r="F15" s="168">
        <v>349</v>
      </c>
      <c r="G15" s="168">
        <v>1394</v>
      </c>
      <c r="H15" s="168">
        <v>211</v>
      </c>
      <c r="I15" s="168">
        <v>677</v>
      </c>
      <c r="J15" s="168">
        <v>53</v>
      </c>
      <c r="K15" s="167">
        <v>1440</v>
      </c>
      <c r="L15" s="166">
        <f t="shared" si="0"/>
        <v>7097</v>
      </c>
      <c r="Q15" s="21"/>
    </row>
    <row r="16" spans="1:17" ht="16.5" thickBot="1" x14ac:dyDescent="0.3">
      <c r="A16" s="165" t="s">
        <v>256</v>
      </c>
      <c r="B16" s="164">
        <v>1357</v>
      </c>
      <c r="C16" s="164">
        <v>434</v>
      </c>
      <c r="D16" s="164">
        <v>1114</v>
      </c>
      <c r="E16" s="164">
        <v>1137</v>
      </c>
      <c r="F16" s="164">
        <v>1054</v>
      </c>
      <c r="G16" s="164">
        <v>1086</v>
      </c>
      <c r="H16" s="164">
        <v>359</v>
      </c>
      <c r="I16" s="164">
        <v>867</v>
      </c>
      <c r="J16" s="164">
        <v>800</v>
      </c>
      <c r="K16" s="163">
        <v>1289</v>
      </c>
      <c r="L16" s="162">
        <f t="shared" si="0"/>
        <v>9497</v>
      </c>
      <c r="Q16" s="21"/>
    </row>
    <row r="17" spans="1:17" ht="16.5" thickBot="1" x14ac:dyDescent="0.3">
      <c r="A17" s="157" t="s">
        <v>501</v>
      </c>
      <c r="B17" s="161">
        <f t="shared" ref="B17:L17" si="1">SUM(B5:B16)</f>
        <v>10714</v>
      </c>
      <c r="C17" s="160">
        <f t="shared" si="1"/>
        <v>8963</v>
      </c>
      <c r="D17" s="160">
        <f t="shared" si="1"/>
        <v>12867</v>
      </c>
      <c r="E17" s="160">
        <f t="shared" si="1"/>
        <v>10485</v>
      </c>
      <c r="F17" s="160">
        <f t="shared" si="1"/>
        <v>8043</v>
      </c>
      <c r="G17" s="160">
        <f t="shared" si="1"/>
        <v>8126</v>
      </c>
      <c r="H17" s="160">
        <f t="shared" si="1"/>
        <v>8494</v>
      </c>
      <c r="I17" s="160">
        <f t="shared" si="1"/>
        <v>7490</v>
      </c>
      <c r="J17" s="160">
        <f t="shared" si="1"/>
        <v>7423</v>
      </c>
      <c r="K17" s="159">
        <f t="shared" si="1"/>
        <v>11762</v>
      </c>
      <c r="L17" s="158">
        <f t="shared" si="1"/>
        <v>94367</v>
      </c>
      <c r="Q17" s="21"/>
    </row>
    <row r="18" spans="1:17" ht="16.5" thickBot="1" x14ac:dyDescent="0.3">
      <c r="A18" s="157" t="s">
        <v>500</v>
      </c>
      <c r="B18" s="156">
        <f t="shared" ref="B18:K18" si="2">AVERAGE(B5:B16)</f>
        <v>892.83333333333337</v>
      </c>
      <c r="C18" s="155">
        <f t="shared" si="2"/>
        <v>746.91666666666663</v>
      </c>
      <c r="D18" s="155">
        <f t="shared" si="2"/>
        <v>1072.25</v>
      </c>
      <c r="E18" s="155">
        <f t="shared" si="2"/>
        <v>873.75</v>
      </c>
      <c r="F18" s="155">
        <f t="shared" si="2"/>
        <v>670.25</v>
      </c>
      <c r="G18" s="155">
        <f t="shared" si="2"/>
        <v>677.16666666666663</v>
      </c>
      <c r="H18" s="155">
        <f t="shared" si="2"/>
        <v>707.83333333333337</v>
      </c>
      <c r="I18" s="155">
        <f t="shared" si="2"/>
        <v>624.16666666666663</v>
      </c>
      <c r="J18" s="155">
        <f t="shared" si="2"/>
        <v>618.58333333333337</v>
      </c>
      <c r="K18" s="154">
        <f t="shared" si="2"/>
        <v>980.16666666666663</v>
      </c>
      <c r="Q18" s="21"/>
    </row>
    <row r="19" spans="1:17" x14ac:dyDescent="0.25">
      <c r="Q19" s="21"/>
    </row>
    <row r="20" spans="1:17" x14ac:dyDescent="0.25">
      <c r="A20" s="21" t="s">
        <v>499</v>
      </c>
      <c r="B20" s="21" t="s">
        <v>498</v>
      </c>
      <c r="Q20" s="21"/>
    </row>
    <row r="21" spans="1:17" x14ac:dyDescent="0.25">
      <c r="Q21" s="21"/>
    </row>
  </sheetData>
  <mergeCells count="1">
    <mergeCell ref="C1:E1"/>
  </mergeCell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6"/>
  <sheetViews>
    <sheetView topLeftCell="A43" zoomScaleNormal="100" workbookViewId="0">
      <selection activeCell="B210" sqref="B210:B213"/>
    </sheetView>
  </sheetViews>
  <sheetFormatPr defaultRowHeight="15.75" x14ac:dyDescent="0.25"/>
  <cols>
    <col min="1" max="1" width="9.140625" style="135"/>
    <col min="2" max="2" width="11" style="135" customWidth="1"/>
    <col min="3" max="3" width="12" style="135" customWidth="1"/>
    <col min="4" max="4" width="11.5703125" style="135" customWidth="1"/>
    <col min="5" max="5" width="17.5703125" style="135" customWidth="1"/>
    <col min="6" max="16384" width="9.140625" style="135"/>
  </cols>
  <sheetData>
    <row r="1" spans="1:5" ht="16.5" thickBot="1" x14ac:dyDescent="0.3">
      <c r="B1" s="153" t="s">
        <v>497</v>
      </c>
      <c r="C1" s="152" t="s">
        <v>496</v>
      </c>
      <c r="D1" s="152" t="s">
        <v>495</v>
      </c>
      <c r="E1" s="151" t="s">
        <v>494</v>
      </c>
    </row>
    <row r="2" spans="1:5" x14ac:dyDescent="0.25">
      <c r="A2" s="150">
        <v>1</v>
      </c>
      <c r="B2" s="149" t="str">
        <f t="shared" ref="B2:E21" si="0">CHAR(ROW()-1)</f>
        <v>_x0001_</v>
      </c>
      <c r="C2" s="148" t="str">
        <f t="shared" si="0"/>
        <v>_x0001_</v>
      </c>
      <c r="D2" s="147" t="str">
        <f t="shared" si="0"/>
        <v>_x0001_</v>
      </c>
      <c r="E2" s="146" t="str">
        <f t="shared" si="0"/>
        <v>_x0001_</v>
      </c>
    </row>
    <row r="3" spans="1:5" x14ac:dyDescent="0.25">
      <c r="A3" s="145">
        <v>2</v>
      </c>
      <c r="B3" s="144" t="str">
        <f t="shared" si="0"/>
        <v>_x0002_</v>
      </c>
      <c r="C3" s="143" t="str">
        <f t="shared" si="0"/>
        <v>_x0002_</v>
      </c>
      <c r="D3" s="142" t="str">
        <f t="shared" si="0"/>
        <v>_x0002_</v>
      </c>
      <c r="E3" s="141" t="str">
        <f t="shared" si="0"/>
        <v>_x0002_</v>
      </c>
    </row>
    <row r="4" spans="1:5" x14ac:dyDescent="0.25">
      <c r="A4" s="145">
        <v>3</v>
      </c>
      <c r="B4" s="144" t="str">
        <f t="shared" si="0"/>
        <v>_x0003_</v>
      </c>
      <c r="C4" s="143" t="str">
        <f t="shared" si="0"/>
        <v>_x0003_</v>
      </c>
      <c r="D4" s="142" t="str">
        <f t="shared" si="0"/>
        <v>_x0003_</v>
      </c>
      <c r="E4" s="141" t="str">
        <f t="shared" si="0"/>
        <v>_x0003_</v>
      </c>
    </row>
    <row r="5" spans="1:5" x14ac:dyDescent="0.25">
      <c r="A5" s="145">
        <v>4</v>
      </c>
      <c r="B5" s="144" t="str">
        <f t="shared" si="0"/>
        <v>_x0004_</v>
      </c>
      <c r="C5" s="143" t="str">
        <f t="shared" si="0"/>
        <v>_x0004_</v>
      </c>
      <c r="D5" s="142" t="str">
        <f t="shared" si="0"/>
        <v>_x0004_</v>
      </c>
      <c r="E5" s="141" t="str">
        <f t="shared" si="0"/>
        <v>_x0004_</v>
      </c>
    </row>
    <row r="6" spans="1:5" x14ac:dyDescent="0.25">
      <c r="A6" s="145">
        <v>5</v>
      </c>
      <c r="B6" s="144" t="str">
        <f t="shared" si="0"/>
        <v>_x0005_</v>
      </c>
      <c r="C6" s="143" t="str">
        <f t="shared" si="0"/>
        <v>_x0005_</v>
      </c>
      <c r="D6" s="142" t="str">
        <f t="shared" si="0"/>
        <v>_x0005_</v>
      </c>
      <c r="E6" s="141" t="str">
        <f t="shared" si="0"/>
        <v>_x0005_</v>
      </c>
    </row>
    <row r="7" spans="1:5" x14ac:dyDescent="0.25">
      <c r="A7" s="145">
        <v>6</v>
      </c>
      <c r="B7" s="144" t="str">
        <f t="shared" si="0"/>
        <v>_x0006_</v>
      </c>
      <c r="C7" s="143" t="str">
        <f t="shared" si="0"/>
        <v>_x0006_</v>
      </c>
      <c r="D7" s="142" t="str">
        <f t="shared" si="0"/>
        <v>_x0006_</v>
      </c>
      <c r="E7" s="141" t="str">
        <f t="shared" si="0"/>
        <v>_x0006_</v>
      </c>
    </row>
    <row r="8" spans="1:5" x14ac:dyDescent="0.25">
      <c r="A8" s="145">
        <v>7</v>
      </c>
      <c r="B8" s="144" t="str">
        <f t="shared" si="0"/>
        <v>_x0007_</v>
      </c>
      <c r="C8" s="143" t="str">
        <f t="shared" si="0"/>
        <v>_x0007_</v>
      </c>
      <c r="D8" s="142" t="str">
        <f t="shared" si="0"/>
        <v>_x0007_</v>
      </c>
      <c r="E8" s="141" t="str">
        <f t="shared" si="0"/>
        <v>_x0007_</v>
      </c>
    </row>
    <row r="9" spans="1:5" x14ac:dyDescent="0.25">
      <c r="A9" s="145">
        <v>8</v>
      </c>
      <c r="B9" s="144" t="str">
        <f t="shared" si="0"/>
        <v>_x0008_</v>
      </c>
      <c r="C9" s="143" t="str">
        <f t="shared" si="0"/>
        <v>_x0008_</v>
      </c>
      <c r="D9" s="142" t="str">
        <f t="shared" si="0"/>
        <v>_x0008_</v>
      </c>
      <c r="E9" s="141" t="str">
        <f t="shared" si="0"/>
        <v>_x0008_</v>
      </c>
    </row>
    <row r="10" spans="1:5" x14ac:dyDescent="0.25">
      <c r="A10" s="145">
        <v>9</v>
      </c>
      <c r="B10" s="144" t="str">
        <f t="shared" si="0"/>
        <v xml:space="preserve">	</v>
      </c>
      <c r="C10" s="143" t="str">
        <f t="shared" si="0"/>
        <v xml:space="preserve">	</v>
      </c>
      <c r="D10" s="142" t="str">
        <f t="shared" si="0"/>
        <v xml:space="preserve">	</v>
      </c>
      <c r="E10" s="141" t="str">
        <f t="shared" si="0"/>
        <v xml:space="preserve">	</v>
      </c>
    </row>
    <row r="11" spans="1:5" x14ac:dyDescent="0.25">
      <c r="A11" s="145">
        <v>10</v>
      </c>
      <c r="B11" s="144" t="str">
        <f t="shared" si="0"/>
        <v xml:space="preserve">
</v>
      </c>
      <c r="C11" s="143" t="str">
        <f t="shared" si="0"/>
        <v xml:space="preserve">
</v>
      </c>
      <c r="D11" s="142" t="str">
        <f t="shared" si="0"/>
        <v xml:space="preserve">
</v>
      </c>
      <c r="E11" s="141" t="str">
        <f t="shared" si="0"/>
        <v xml:space="preserve">
</v>
      </c>
    </row>
    <row r="12" spans="1:5" x14ac:dyDescent="0.25">
      <c r="A12" s="145">
        <v>11</v>
      </c>
      <c r="B12" s="144" t="str">
        <f t="shared" si="0"/>
        <v>_x000B_</v>
      </c>
      <c r="C12" s="143" t="str">
        <f t="shared" si="0"/>
        <v>_x000B_</v>
      </c>
      <c r="D12" s="142" t="str">
        <f t="shared" si="0"/>
        <v>_x000B_</v>
      </c>
      <c r="E12" s="141" t="str">
        <f t="shared" si="0"/>
        <v>_x000B_</v>
      </c>
    </row>
    <row r="13" spans="1:5" x14ac:dyDescent="0.25">
      <c r="A13" s="145">
        <v>12</v>
      </c>
      <c r="B13" s="144" t="str">
        <f t="shared" si="0"/>
        <v>_x000C_</v>
      </c>
      <c r="C13" s="143" t="str">
        <f t="shared" si="0"/>
        <v>_x000C_</v>
      </c>
      <c r="D13" s="142" t="str">
        <f t="shared" si="0"/>
        <v>_x000C_</v>
      </c>
      <c r="E13" s="141" t="str">
        <f t="shared" si="0"/>
        <v>_x000C_</v>
      </c>
    </row>
    <row r="14" spans="1:5" x14ac:dyDescent="0.25">
      <c r="A14" s="145">
        <v>13</v>
      </c>
      <c r="B14" s="144" t="str">
        <f t="shared" si="0"/>
        <v>_x000D_</v>
      </c>
      <c r="C14" s="143" t="str">
        <f t="shared" si="0"/>
        <v>_x000D_</v>
      </c>
      <c r="D14" s="142" t="str">
        <f t="shared" si="0"/>
        <v>_x000D_</v>
      </c>
      <c r="E14" s="141" t="str">
        <f t="shared" si="0"/>
        <v>_x000D_</v>
      </c>
    </row>
    <row r="15" spans="1:5" x14ac:dyDescent="0.25">
      <c r="A15" s="145">
        <v>14</v>
      </c>
      <c r="B15" s="144" t="str">
        <f t="shared" si="0"/>
        <v>_x000E_</v>
      </c>
      <c r="C15" s="143" t="str">
        <f t="shared" si="0"/>
        <v>_x000E_</v>
      </c>
      <c r="D15" s="142" t="str">
        <f t="shared" si="0"/>
        <v>_x000E_</v>
      </c>
      <c r="E15" s="141" t="str">
        <f t="shared" si="0"/>
        <v>_x000E_</v>
      </c>
    </row>
    <row r="16" spans="1:5" x14ac:dyDescent="0.25">
      <c r="A16" s="145">
        <v>15</v>
      </c>
      <c r="B16" s="144" t="str">
        <f t="shared" si="0"/>
        <v>_x000F_</v>
      </c>
      <c r="C16" s="143" t="str">
        <f t="shared" si="0"/>
        <v>_x000F_</v>
      </c>
      <c r="D16" s="142" t="str">
        <f t="shared" si="0"/>
        <v>_x000F_</v>
      </c>
      <c r="E16" s="141" t="str">
        <f t="shared" si="0"/>
        <v>_x000F_</v>
      </c>
    </row>
    <row r="17" spans="1:5" x14ac:dyDescent="0.25">
      <c r="A17" s="145">
        <v>16</v>
      </c>
      <c r="B17" s="144" t="str">
        <f t="shared" si="0"/>
        <v>_x0010_</v>
      </c>
      <c r="C17" s="143" t="str">
        <f t="shared" si="0"/>
        <v>_x0010_</v>
      </c>
      <c r="D17" s="142" t="str">
        <f t="shared" si="0"/>
        <v>_x0010_</v>
      </c>
      <c r="E17" s="141" t="str">
        <f t="shared" si="0"/>
        <v>_x0010_</v>
      </c>
    </row>
    <row r="18" spans="1:5" x14ac:dyDescent="0.25">
      <c r="A18" s="145">
        <v>17</v>
      </c>
      <c r="B18" s="144" t="str">
        <f t="shared" si="0"/>
        <v>_x0011_</v>
      </c>
      <c r="C18" s="143" t="str">
        <f t="shared" si="0"/>
        <v>_x0011_</v>
      </c>
      <c r="D18" s="142" t="str">
        <f t="shared" si="0"/>
        <v>_x0011_</v>
      </c>
      <c r="E18" s="141" t="str">
        <f t="shared" si="0"/>
        <v>_x0011_</v>
      </c>
    </row>
    <row r="19" spans="1:5" x14ac:dyDescent="0.25">
      <c r="A19" s="145">
        <v>18</v>
      </c>
      <c r="B19" s="144" t="str">
        <f t="shared" si="0"/>
        <v>_x0012_</v>
      </c>
      <c r="C19" s="143" t="str">
        <f t="shared" si="0"/>
        <v>_x0012_</v>
      </c>
      <c r="D19" s="142" t="str">
        <f t="shared" si="0"/>
        <v>_x0012_</v>
      </c>
      <c r="E19" s="141" t="str">
        <f t="shared" si="0"/>
        <v>_x0012_</v>
      </c>
    </row>
    <row r="20" spans="1:5" x14ac:dyDescent="0.25">
      <c r="A20" s="145">
        <v>19</v>
      </c>
      <c r="B20" s="144" t="str">
        <f t="shared" si="0"/>
        <v>_x0013_</v>
      </c>
      <c r="C20" s="143" t="str">
        <f t="shared" si="0"/>
        <v>_x0013_</v>
      </c>
      <c r="D20" s="142" t="str">
        <f t="shared" si="0"/>
        <v>_x0013_</v>
      </c>
      <c r="E20" s="141" t="str">
        <f t="shared" si="0"/>
        <v>_x0013_</v>
      </c>
    </row>
    <row r="21" spans="1:5" x14ac:dyDescent="0.25">
      <c r="A21" s="145">
        <v>20</v>
      </c>
      <c r="B21" s="144" t="str">
        <f t="shared" si="0"/>
        <v>_x0014_</v>
      </c>
      <c r="C21" s="143" t="str">
        <f t="shared" si="0"/>
        <v>_x0014_</v>
      </c>
      <c r="D21" s="142" t="str">
        <f t="shared" si="0"/>
        <v>_x0014_</v>
      </c>
      <c r="E21" s="141" t="str">
        <f t="shared" si="0"/>
        <v>_x0014_</v>
      </c>
    </row>
    <row r="22" spans="1:5" x14ac:dyDescent="0.25">
      <c r="A22" s="145">
        <v>21</v>
      </c>
      <c r="B22" s="144" t="str">
        <f t="shared" ref="B22:E41" si="1">CHAR(ROW()-1)</f>
        <v>_x0015_</v>
      </c>
      <c r="C22" s="143" t="str">
        <f t="shared" si="1"/>
        <v>_x0015_</v>
      </c>
      <c r="D22" s="142" t="str">
        <f t="shared" si="1"/>
        <v>_x0015_</v>
      </c>
      <c r="E22" s="141" t="str">
        <f t="shared" si="1"/>
        <v>_x0015_</v>
      </c>
    </row>
    <row r="23" spans="1:5" x14ac:dyDescent="0.25">
      <c r="A23" s="145">
        <v>22</v>
      </c>
      <c r="B23" s="144" t="str">
        <f t="shared" si="1"/>
        <v>_x0016_</v>
      </c>
      <c r="C23" s="143" t="str">
        <f t="shared" si="1"/>
        <v>_x0016_</v>
      </c>
      <c r="D23" s="142" t="str">
        <f t="shared" si="1"/>
        <v>_x0016_</v>
      </c>
      <c r="E23" s="141" t="str">
        <f t="shared" si="1"/>
        <v>_x0016_</v>
      </c>
    </row>
    <row r="24" spans="1:5" x14ac:dyDescent="0.25">
      <c r="A24" s="145">
        <v>23</v>
      </c>
      <c r="B24" s="144" t="str">
        <f t="shared" si="1"/>
        <v>_x0017_</v>
      </c>
      <c r="C24" s="143" t="str">
        <f t="shared" si="1"/>
        <v>_x0017_</v>
      </c>
      <c r="D24" s="142" t="str">
        <f t="shared" si="1"/>
        <v>_x0017_</v>
      </c>
      <c r="E24" s="141" t="str">
        <f t="shared" si="1"/>
        <v>_x0017_</v>
      </c>
    </row>
    <row r="25" spans="1:5" x14ac:dyDescent="0.25">
      <c r="A25" s="145">
        <v>24</v>
      </c>
      <c r="B25" s="144" t="str">
        <f t="shared" si="1"/>
        <v>_x0018_</v>
      </c>
      <c r="C25" s="143" t="str">
        <f t="shared" si="1"/>
        <v>_x0018_</v>
      </c>
      <c r="D25" s="142" t="str">
        <f t="shared" si="1"/>
        <v>_x0018_</v>
      </c>
      <c r="E25" s="141" t="str">
        <f t="shared" si="1"/>
        <v>_x0018_</v>
      </c>
    </row>
    <row r="26" spans="1:5" x14ac:dyDescent="0.25">
      <c r="A26" s="145">
        <v>25</v>
      </c>
      <c r="B26" s="144" t="str">
        <f t="shared" si="1"/>
        <v>_x0019_</v>
      </c>
      <c r="C26" s="143" t="str">
        <f t="shared" si="1"/>
        <v>_x0019_</v>
      </c>
      <c r="D26" s="142" t="str">
        <f t="shared" si="1"/>
        <v>_x0019_</v>
      </c>
      <c r="E26" s="141" t="str">
        <f t="shared" si="1"/>
        <v>_x0019_</v>
      </c>
    </row>
    <row r="27" spans="1:5" x14ac:dyDescent="0.25">
      <c r="A27" s="145">
        <v>26</v>
      </c>
      <c r="B27" s="144" t="str">
        <f t="shared" si="1"/>
        <v>_x001A_</v>
      </c>
      <c r="C27" s="143" t="str">
        <f t="shared" si="1"/>
        <v>_x001A_</v>
      </c>
      <c r="D27" s="142" t="str">
        <f t="shared" si="1"/>
        <v>_x001A_</v>
      </c>
      <c r="E27" s="141" t="str">
        <f t="shared" si="1"/>
        <v>_x001A_</v>
      </c>
    </row>
    <row r="28" spans="1:5" x14ac:dyDescent="0.25">
      <c r="A28" s="145">
        <v>27</v>
      </c>
      <c r="B28" s="144" t="str">
        <f t="shared" si="1"/>
        <v>_x001B_</v>
      </c>
      <c r="C28" s="143" t="str">
        <f t="shared" si="1"/>
        <v>_x001B_</v>
      </c>
      <c r="D28" s="142" t="str">
        <f t="shared" si="1"/>
        <v>_x001B_</v>
      </c>
      <c r="E28" s="141" t="str">
        <f t="shared" si="1"/>
        <v>_x001B_</v>
      </c>
    </row>
    <row r="29" spans="1:5" x14ac:dyDescent="0.25">
      <c r="A29" s="145">
        <v>28</v>
      </c>
      <c r="B29" s="144" t="str">
        <f t="shared" si="1"/>
        <v>_x001C_</v>
      </c>
      <c r="C29" s="143" t="str">
        <f t="shared" si="1"/>
        <v>_x001C_</v>
      </c>
      <c r="D29" s="142" t="str">
        <f t="shared" si="1"/>
        <v>_x001C_</v>
      </c>
      <c r="E29" s="141" t="str">
        <f t="shared" si="1"/>
        <v>_x001C_</v>
      </c>
    </row>
    <row r="30" spans="1:5" x14ac:dyDescent="0.25">
      <c r="A30" s="145">
        <v>29</v>
      </c>
      <c r="B30" s="144" t="str">
        <f t="shared" si="1"/>
        <v>_x001D_</v>
      </c>
      <c r="C30" s="143" t="str">
        <f t="shared" si="1"/>
        <v>_x001D_</v>
      </c>
      <c r="D30" s="142" t="str">
        <f t="shared" si="1"/>
        <v>_x001D_</v>
      </c>
      <c r="E30" s="141" t="str">
        <f t="shared" si="1"/>
        <v>_x001D_</v>
      </c>
    </row>
    <row r="31" spans="1:5" x14ac:dyDescent="0.25">
      <c r="A31" s="145">
        <v>30</v>
      </c>
      <c r="B31" s="144" t="str">
        <f t="shared" si="1"/>
        <v>_x001E_</v>
      </c>
      <c r="C31" s="143" t="str">
        <f t="shared" si="1"/>
        <v>_x001E_</v>
      </c>
      <c r="D31" s="142" t="str">
        <f t="shared" si="1"/>
        <v>_x001E_</v>
      </c>
      <c r="E31" s="141" t="str">
        <f t="shared" si="1"/>
        <v>_x001E_</v>
      </c>
    </row>
    <row r="32" spans="1:5" x14ac:dyDescent="0.25">
      <c r="A32" s="145">
        <v>31</v>
      </c>
      <c r="B32" s="144" t="str">
        <f t="shared" si="1"/>
        <v>_x001F_</v>
      </c>
      <c r="C32" s="143" t="str">
        <f t="shared" si="1"/>
        <v>_x001F_</v>
      </c>
      <c r="D32" s="142" t="str">
        <f t="shared" si="1"/>
        <v>_x001F_</v>
      </c>
      <c r="E32" s="141" t="str">
        <f t="shared" si="1"/>
        <v>_x001F_</v>
      </c>
    </row>
    <row r="33" spans="1:5" x14ac:dyDescent="0.25">
      <c r="A33" s="145">
        <v>32</v>
      </c>
      <c r="B33" s="144" t="str">
        <f t="shared" si="1"/>
        <v xml:space="preserve"> </v>
      </c>
      <c r="C33" s="143" t="str">
        <f t="shared" si="1"/>
        <v xml:space="preserve"> </v>
      </c>
      <c r="D33" s="142" t="str">
        <f t="shared" si="1"/>
        <v xml:space="preserve"> </v>
      </c>
      <c r="E33" s="141" t="str">
        <f t="shared" si="1"/>
        <v xml:space="preserve"> </v>
      </c>
    </row>
    <row r="34" spans="1:5" x14ac:dyDescent="0.25">
      <c r="A34" s="145">
        <v>33</v>
      </c>
      <c r="B34" s="144" t="str">
        <f t="shared" si="1"/>
        <v>!</v>
      </c>
      <c r="C34" s="143" t="str">
        <f t="shared" si="1"/>
        <v>!</v>
      </c>
      <c r="D34" s="142" t="str">
        <f t="shared" si="1"/>
        <v>!</v>
      </c>
      <c r="E34" s="141" t="str">
        <f t="shared" si="1"/>
        <v>!</v>
      </c>
    </row>
    <row r="35" spans="1:5" x14ac:dyDescent="0.25">
      <c r="A35" s="145">
        <v>34</v>
      </c>
      <c r="B35" s="144" t="str">
        <f t="shared" si="1"/>
        <v>"</v>
      </c>
      <c r="C35" s="143" t="str">
        <f t="shared" si="1"/>
        <v>"</v>
      </c>
      <c r="D35" s="142" t="str">
        <f t="shared" si="1"/>
        <v>"</v>
      </c>
      <c r="E35" s="141" t="str">
        <f t="shared" si="1"/>
        <v>"</v>
      </c>
    </row>
    <row r="36" spans="1:5" x14ac:dyDescent="0.25">
      <c r="A36" s="145">
        <v>35</v>
      </c>
      <c r="B36" s="144" t="str">
        <f t="shared" si="1"/>
        <v>#</v>
      </c>
      <c r="C36" s="143" t="str">
        <f t="shared" si="1"/>
        <v>#</v>
      </c>
      <c r="D36" s="142" t="str">
        <f t="shared" si="1"/>
        <v>#</v>
      </c>
      <c r="E36" s="141" t="str">
        <f t="shared" si="1"/>
        <v>#</v>
      </c>
    </row>
    <row r="37" spans="1:5" x14ac:dyDescent="0.25">
      <c r="A37" s="145">
        <v>36</v>
      </c>
      <c r="B37" s="144" t="str">
        <f t="shared" si="1"/>
        <v>$</v>
      </c>
      <c r="C37" s="143" t="str">
        <f t="shared" si="1"/>
        <v>$</v>
      </c>
      <c r="D37" s="142" t="str">
        <f t="shared" si="1"/>
        <v>$</v>
      </c>
      <c r="E37" s="141" t="str">
        <f t="shared" si="1"/>
        <v>$</v>
      </c>
    </row>
    <row r="38" spans="1:5" x14ac:dyDescent="0.25">
      <c r="A38" s="145">
        <v>37</v>
      </c>
      <c r="B38" s="144" t="str">
        <f t="shared" si="1"/>
        <v>%</v>
      </c>
      <c r="C38" s="143" t="str">
        <f t="shared" si="1"/>
        <v>%</v>
      </c>
      <c r="D38" s="142" t="str">
        <f t="shared" si="1"/>
        <v>%</v>
      </c>
      <c r="E38" s="141" t="str">
        <f t="shared" si="1"/>
        <v>%</v>
      </c>
    </row>
    <row r="39" spans="1:5" x14ac:dyDescent="0.25">
      <c r="A39" s="145">
        <v>38</v>
      </c>
      <c r="B39" s="144" t="str">
        <f t="shared" si="1"/>
        <v>&amp;</v>
      </c>
      <c r="C39" s="143" t="str">
        <f t="shared" si="1"/>
        <v>&amp;</v>
      </c>
      <c r="D39" s="142" t="str">
        <f t="shared" si="1"/>
        <v>&amp;</v>
      </c>
      <c r="E39" s="141" t="str">
        <f t="shared" si="1"/>
        <v>&amp;</v>
      </c>
    </row>
    <row r="40" spans="1:5" x14ac:dyDescent="0.25">
      <c r="A40" s="145">
        <v>39</v>
      </c>
      <c r="B40" s="144" t="str">
        <f t="shared" si="1"/>
        <v>'</v>
      </c>
      <c r="C40" s="143" t="str">
        <f t="shared" si="1"/>
        <v>'</v>
      </c>
      <c r="D40" s="142" t="str">
        <f t="shared" si="1"/>
        <v>'</v>
      </c>
      <c r="E40" s="141" t="str">
        <f t="shared" si="1"/>
        <v>'</v>
      </c>
    </row>
    <row r="41" spans="1:5" x14ac:dyDescent="0.25">
      <c r="A41" s="145">
        <v>40</v>
      </c>
      <c r="B41" s="144" t="str">
        <f t="shared" si="1"/>
        <v>(</v>
      </c>
      <c r="C41" s="143" t="str">
        <f t="shared" si="1"/>
        <v>(</v>
      </c>
      <c r="D41" s="142" t="str">
        <f t="shared" si="1"/>
        <v>(</v>
      </c>
      <c r="E41" s="141" t="str">
        <f t="shared" si="1"/>
        <v>(</v>
      </c>
    </row>
    <row r="42" spans="1:5" x14ac:dyDescent="0.25">
      <c r="A42" s="145">
        <v>41</v>
      </c>
      <c r="B42" s="144" t="str">
        <f t="shared" ref="B42:E61" si="2">CHAR(ROW()-1)</f>
        <v>)</v>
      </c>
      <c r="C42" s="143" t="str">
        <f t="shared" si="2"/>
        <v>)</v>
      </c>
      <c r="D42" s="142" t="str">
        <f t="shared" si="2"/>
        <v>)</v>
      </c>
      <c r="E42" s="141" t="str">
        <f t="shared" si="2"/>
        <v>)</v>
      </c>
    </row>
    <row r="43" spans="1:5" x14ac:dyDescent="0.25">
      <c r="A43" s="145">
        <v>42</v>
      </c>
      <c r="B43" s="144" t="str">
        <f t="shared" si="2"/>
        <v>*</v>
      </c>
      <c r="C43" s="143" t="str">
        <f t="shared" si="2"/>
        <v>*</v>
      </c>
      <c r="D43" s="142" t="str">
        <f t="shared" si="2"/>
        <v>*</v>
      </c>
      <c r="E43" s="141" t="str">
        <f t="shared" si="2"/>
        <v>*</v>
      </c>
    </row>
    <row r="44" spans="1:5" x14ac:dyDescent="0.25">
      <c r="A44" s="145">
        <v>43</v>
      </c>
      <c r="B44" s="144" t="str">
        <f t="shared" si="2"/>
        <v>+</v>
      </c>
      <c r="C44" s="143" t="str">
        <f t="shared" si="2"/>
        <v>+</v>
      </c>
      <c r="D44" s="142" t="str">
        <f t="shared" si="2"/>
        <v>+</v>
      </c>
      <c r="E44" s="141" t="str">
        <f t="shared" si="2"/>
        <v>+</v>
      </c>
    </row>
    <row r="45" spans="1:5" x14ac:dyDescent="0.25">
      <c r="A45" s="145">
        <v>44</v>
      </c>
      <c r="B45" s="144" t="str">
        <f t="shared" si="2"/>
        <v>,</v>
      </c>
      <c r="C45" s="143" t="str">
        <f t="shared" si="2"/>
        <v>,</v>
      </c>
      <c r="D45" s="142" t="str">
        <f t="shared" si="2"/>
        <v>,</v>
      </c>
      <c r="E45" s="141" t="str">
        <f t="shared" si="2"/>
        <v>,</v>
      </c>
    </row>
    <row r="46" spans="1:5" x14ac:dyDescent="0.25">
      <c r="A46" s="145">
        <v>45</v>
      </c>
      <c r="B46" s="144" t="str">
        <f t="shared" si="2"/>
        <v>-</v>
      </c>
      <c r="C46" s="143" t="str">
        <f t="shared" si="2"/>
        <v>-</v>
      </c>
      <c r="D46" s="142" t="str">
        <f t="shared" si="2"/>
        <v>-</v>
      </c>
      <c r="E46" s="141" t="str">
        <f t="shared" si="2"/>
        <v>-</v>
      </c>
    </row>
    <row r="47" spans="1:5" x14ac:dyDescent="0.25">
      <c r="A47" s="145">
        <v>46</v>
      </c>
      <c r="B47" s="144" t="str">
        <f t="shared" si="2"/>
        <v>.</v>
      </c>
      <c r="C47" s="143" t="str">
        <f t="shared" si="2"/>
        <v>.</v>
      </c>
      <c r="D47" s="142" t="str">
        <f t="shared" si="2"/>
        <v>.</v>
      </c>
      <c r="E47" s="141" t="str">
        <f t="shared" si="2"/>
        <v>.</v>
      </c>
    </row>
    <row r="48" spans="1:5" x14ac:dyDescent="0.25">
      <c r="A48" s="145">
        <v>47</v>
      </c>
      <c r="B48" s="144" t="str">
        <f t="shared" si="2"/>
        <v>/</v>
      </c>
      <c r="C48" s="143" t="str">
        <f t="shared" si="2"/>
        <v>/</v>
      </c>
      <c r="D48" s="142" t="str">
        <f t="shared" si="2"/>
        <v>/</v>
      </c>
      <c r="E48" s="141" t="str">
        <f t="shared" si="2"/>
        <v>/</v>
      </c>
    </row>
    <row r="49" spans="1:5" x14ac:dyDescent="0.25">
      <c r="A49" s="145">
        <v>48</v>
      </c>
      <c r="B49" s="144" t="str">
        <f t="shared" si="2"/>
        <v>0</v>
      </c>
      <c r="C49" s="143" t="str">
        <f t="shared" si="2"/>
        <v>0</v>
      </c>
      <c r="D49" s="142" t="str">
        <f t="shared" si="2"/>
        <v>0</v>
      </c>
      <c r="E49" s="141" t="str">
        <f t="shared" si="2"/>
        <v>0</v>
      </c>
    </row>
    <row r="50" spans="1:5" x14ac:dyDescent="0.25">
      <c r="A50" s="145">
        <v>49</v>
      </c>
      <c r="B50" s="144" t="str">
        <f t="shared" si="2"/>
        <v>1</v>
      </c>
      <c r="C50" s="143" t="str">
        <f t="shared" si="2"/>
        <v>1</v>
      </c>
      <c r="D50" s="142" t="str">
        <f t="shared" si="2"/>
        <v>1</v>
      </c>
      <c r="E50" s="141" t="str">
        <f t="shared" si="2"/>
        <v>1</v>
      </c>
    </row>
    <row r="51" spans="1:5" x14ac:dyDescent="0.25">
      <c r="A51" s="145">
        <v>50</v>
      </c>
      <c r="B51" s="144" t="str">
        <f t="shared" si="2"/>
        <v>2</v>
      </c>
      <c r="C51" s="143" t="str">
        <f t="shared" si="2"/>
        <v>2</v>
      </c>
      <c r="D51" s="142" t="str">
        <f t="shared" si="2"/>
        <v>2</v>
      </c>
      <c r="E51" s="141" t="str">
        <f t="shared" si="2"/>
        <v>2</v>
      </c>
    </row>
    <row r="52" spans="1:5" x14ac:dyDescent="0.25">
      <c r="A52" s="145">
        <v>51</v>
      </c>
      <c r="B52" s="144" t="str">
        <f t="shared" si="2"/>
        <v>3</v>
      </c>
      <c r="C52" s="143" t="str">
        <f t="shared" si="2"/>
        <v>3</v>
      </c>
      <c r="D52" s="142" t="str">
        <f t="shared" si="2"/>
        <v>3</v>
      </c>
      <c r="E52" s="141" t="str">
        <f t="shared" si="2"/>
        <v>3</v>
      </c>
    </row>
    <row r="53" spans="1:5" x14ac:dyDescent="0.25">
      <c r="A53" s="145">
        <v>52</v>
      </c>
      <c r="B53" s="144" t="str">
        <f t="shared" si="2"/>
        <v>4</v>
      </c>
      <c r="C53" s="143" t="str">
        <f t="shared" si="2"/>
        <v>4</v>
      </c>
      <c r="D53" s="142" t="str">
        <f t="shared" si="2"/>
        <v>4</v>
      </c>
      <c r="E53" s="141" t="str">
        <f t="shared" si="2"/>
        <v>4</v>
      </c>
    </row>
    <row r="54" spans="1:5" x14ac:dyDescent="0.25">
      <c r="A54" s="145">
        <v>53</v>
      </c>
      <c r="B54" s="144" t="str">
        <f t="shared" si="2"/>
        <v>5</v>
      </c>
      <c r="C54" s="143" t="str">
        <f t="shared" si="2"/>
        <v>5</v>
      </c>
      <c r="D54" s="142" t="str">
        <f t="shared" si="2"/>
        <v>5</v>
      </c>
      <c r="E54" s="141" t="str">
        <f t="shared" si="2"/>
        <v>5</v>
      </c>
    </row>
    <row r="55" spans="1:5" x14ac:dyDescent="0.25">
      <c r="A55" s="145">
        <v>54</v>
      </c>
      <c r="B55" s="144" t="str">
        <f t="shared" si="2"/>
        <v>6</v>
      </c>
      <c r="C55" s="143" t="str">
        <f t="shared" si="2"/>
        <v>6</v>
      </c>
      <c r="D55" s="142" t="str">
        <f t="shared" si="2"/>
        <v>6</v>
      </c>
      <c r="E55" s="141" t="str">
        <f t="shared" si="2"/>
        <v>6</v>
      </c>
    </row>
    <row r="56" spans="1:5" x14ac:dyDescent="0.25">
      <c r="A56" s="145">
        <v>55</v>
      </c>
      <c r="B56" s="144" t="str">
        <f t="shared" si="2"/>
        <v>7</v>
      </c>
      <c r="C56" s="143" t="str">
        <f t="shared" si="2"/>
        <v>7</v>
      </c>
      <c r="D56" s="142" t="str">
        <f t="shared" si="2"/>
        <v>7</v>
      </c>
      <c r="E56" s="141" t="str">
        <f t="shared" si="2"/>
        <v>7</v>
      </c>
    </row>
    <row r="57" spans="1:5" x14ac:dyDescent="0.25">
      <c r="A57" s="145">
        <v>56</v>
      </c>
      <c r="B57" s="144" t="str">
        <f t="shared" si="2"/>
        <v>8</v>
      </c>
      <c r="C57" s="143" t="str">
        <f t="shared" si="2"/>
        <v>8</v>
      </c>
      <c r="D57" s="142" t="str">
        <f t="shared" si="2"/>
        <v>8</v>
      </c>
      <c r="E57" s="141" t="str">
        <f t="shared" si="2"/>
        <v>8</v>
      </c>
    </row>
    <row r="58" spans="1:5" x14ac:dyDescent="0.25">
      <c r="A58" s="145">
        <v>57</v>
      </c>
      <c r="B58" s="144" t="str">
        <f t="shared" si="2"/>
        <v>9</v>
      </c>
      <c r="C58" s="143" t="str">
        <f t="shared" si="2"/>
        <v>9</v>
      </c>
      <c r="D58" s="142" t="str">
        <f t="shared" si="2"/>
        <v>9</v>
      </c>
      <c r="E58" s="141" t="str">
        <f t="shared" si="2"/>
        <v>9</v>
      </c>
    </row>
    <row r="59" spans="1:5" x14ac:dyDescent="0.25">
      <c r="A59" s="145">
        <v>58</v>
      </c>
      <c r="B59" s="144" t="str">
        <f t="shared" si="2"/>
        <v>:</v>
      </c>
      <c r="C59" s="143" t="str">
        <f t="shared" si="2"/>
        <v>:</v>
      </c>
      <c r="D59" s="142" t="str">
        <f t="shared" si="2"/>
        <v>:</v>
      </c>
      <c r="E59" s="141" t="str">
        <f t="shared" si="2"/>
        <v>:</v>
      </c>
    </row>
    <row r="60" spans="1:5" x14ac:dyDescent="0.25">
      <c r="A60" s="145">
        <v>59</v>
      </c>
      <c r="B60" s="144" t="str">
        <f t="shared" si="2"/>
        <v>;</v>
      </c>
      <c r="C60" s="143" t="str">
        <f t="shared" si="2"/>
        <v>;</v>
      </c>
      <c r="D60" s="142" t="str">
        <f t="shared" si="2"/>
        <v>;</v>
      </c>
      <c r="E60" s="141" t="str">
        <f t="shared" si="2"/>
        <v>;</v>
      </c>
    </row>
    <row r="61" spans="1:5" x14ac:dyDescent="0.25">
      <c r="A61" s="145">
        <v>60</v>
      </c>
      <c r="B61" s="144" t="str">
        <f t="shared" si="2"/>
        <v>&lt;</v>
      </c>
      <c r="C61" s="143" t="str">
        <f t="shared" si="2"/>
        <v>&lt;</v>
      </c>
      <c r="D61" s="142" t="str">
        <f t="shared" si="2"/>
        <v>&lt;</v>
      </c>
      <c r="E61" s="141" t="str">
        <f t="shared" si="2"/>
        <v>&lt;</v>
      </c>
    </row>
    <row r="62" spans="1:5" x14ac:dyDescent="0.25">
      <c r="A62" s="145">
        <v>61</v>
      </c>
      <c r="B62" s="144" t="str">
        <f t="shared" ref="B62:E81" si="3">CHAR(ROW()-1)</f>
        <v>=</v>
      </c>
      <c r="C62" s="143" t="str">
        <f t="shared" si="3"/>
        <v>=</v>
      </c>
      <c r="D62" s="142" t="str">
        <f t="shared" si="3"/>
        <v>=</v>
      </c>
      <c r="E62" s="141" t="str">
        <f t="shared" si="3"/>
        <v>=</v>
      </c>
    </row>
    <row r="63" spans="1:5" x14ac:dyDescent="0.25">
      <c r="A63" s="145">
        <v>62</v>
      </c>
      <c r="B63" s="144" t="str">
        <f t="shared" si="3"/>
        <v>&gt;</v>
      </c>
      <c r="C63" s="143" t="str">
        <f t="shared" si="3"/>
        <v>&gt;</v>
      </c>
      <c r="D63" s="142" t="str">
        <f t="shared" si="3"/>
        <v>&gt;</v>
      </c>
      <c r="E63" s="141" t="str">
        <f t="shared" si="3"/>
        <v>&gt;</v>
      </c>
    </row>
    <row r="64" spans="1:5" x14ac:dyDescent="0.25">
      <c r="A64" s="145">
        <v>63</v>
      </c>
      <c r="B64" s="144" t="str">
        <f t="shared" si="3"/>
        <v>?</v>
      </c>
      <c r="C64" s="143" t="str">
        <f t="shared" si="3"/>
        <v>?</v>
      </c>
      <c r="D64" s="142" t="str">
        <f t="shared" si="3"/>
        <v>?</v>
      </c>
      <c r="E64" s="141" t="str">
        <f t="shared" si="3"/>
        <v>?</v>
      </c>
    </row>
    <row r="65" spans="1:5" x14ac:dyDescent="0.25">
      <c r="A65" s="145">
        <v>64</v>
      </c>
      <c r="B65" s="144" t="str">
        <f t="shared" si="3"/>
        <v>@</v>
      </c>
      <c r="C65" s="143" t="str">
        <f t="shared" si="3"/>
        <v>@</v>
      </c>
      <c r="D65" s="142" t="str">
        <f t="shared" si="3"/>
        <v>@</v>
      </c>
      <c r="E65" s="141" t="str">
        <f t="shared" si="3"/>
        <v>@</v>
      </c>
    </row>
    <row r="66" spans="1:5" x14ac:dyDescent="0.25">
      <c r="A66" s="145">
        <v>65</v>
      </c>
      <c r="B66" s="144" t="str">
        <f t="shared" si="3"/>
        <v>A</v>
      </c>
      <c r="C66" s="143" t="str">
        <f t="shared" si="3"/>
        <v>A</v>
      </c>
      <c r="D66" s="142" t="str">
        <f t="shared" si="3"/>
        <v>A</v>
      </c>
      <c r="E66" s="141" t="str">
        <f t="shared" si="3"/>
        <v>A</v>
      </c>
    </row>
    <row r="67" spans="1:5" x14ac:dyDescent="0.25">
      <c r="A67" s="145">
        <v>66</v>
      </c>
      <c r="B67" s="144" t="str">
        <f t="shared" si="3"/>
        <v>B</v>
      </c>
      <c r="C67" s="143" t="str">
        <f t="shared" si="3"/>
        <v>B</v>
      </c>
      <c r="D67" s="142" t="str">
        <f t="shared" si="3"/>
        <v>B</v>
      </c>
      <c r="E67" s="141" t="str">
        <f t="shared" si="3"/>
        <v>B</v>
      </c>
    </row>
    <row r="68" spans="1:5" x14ac:dyDescent="0.25">
      <c r="A68" s="145">
        <v>67</v>
      </c>
      <c r="B68" s="144" t="str">
        <f t="shared" si="3"/>
        <v>C</v>
      </c>
      <c r="C68" s="143" t="str">
        <f t="shared" si="3"/>
        <v>C</v>
      </c>
      <c r="D68" s="142" t="str">
        <f t="shared" si="3"/>
        <v>C</v>
      </c>
      <c r="E68" s="141" t="str">
        <f t="shared" si="3"/>
        <v>C</v>
      </c>
    </row>
    <row r="69" spans="1:5" x14ac:dyDescent="0.25">
      <c r="A69" s="145">
        <v>68</v>
      </c>
      <c r="B69" s="144" t="str">
        <f t="shared" si="3"/>
        <v>D</v>
      </c>
      <c r="C69" s="143" t="str">
        <f t="shared" si="3"/>
        <v>D</v>
      </c>
      <c r="D69" s="142" t="str">
        <f t="shared" si="3"/>
        <v>D</v>
      </c>
      <c r="E69" s="141" t="str">
        <f t="shared" si="3"/>
        <v>D</v>
      </c>
    </row>
    <row r="70" spans="1:5" x14ac:dyDescent="0.25">
      <c r="A70" s="145">
        <v>69</v>
      </c>
      <c r="B70" s="144" t="str">
        <f t="shared" si="3"/>
        <v>E</v>
      </c>
      <c r="C70" s="143" t="str">
        <f t="shared" si="3"/>
        <v>E</v>
      </c>
      <c r="D70" s="142" t="str">
        <f t="shared" si="3"/>
        <v>E</v>
      </c>
      <c r="E70" s="141" t="str">
        <f t="shared" si="3"/>
        <v>E</v>
      </c>
    </row>
    <row r="71" spans="1:5" x14ac:dyDescent="0.25">
      <c r="A71" s="145">
        <v>70</v>
      </c>
      <c r="B71" s="144" t="str">
        <f t="shared" si="3"/>
        <v>F</v>
      </c>
      <c r="C71" s="143" t="str">
        <f t="shared" si="3"/>
        <v>F</v>
      </c>
      <c r="D71" s="142" t="str">
        <f t="shared" si="3"/>
        <v>F</v>
      </c>
      <c r="E71" s="141" t="str">
        <f t="shared" si="3"/>
        <v>F</v>
      </c>
    </row>
    <row r="72" spans="1:5" x14ac:dyDescent="0.25">
      <c r="A72" s="145">
        <v>71</v>
      </c>
      <c r="B72" s="144" t="str">
        <f t="shared" si="3"/>
        <v>G</v>
      </c>
      <c r="C72" s="143" t="str">
        <f t="shared" si="3"/>
        <v>G</v>
      </c>
      <c r="D72" s="142" t="str">
        <f t="shared" si="3"/>
        <v>G</v>
      </c>
      <c r="E72" s="141" t="str">
        <f t="shared" si="3"/>
        <v>G</v>
      </c>
    </row>
    <row r="73" spans="1:5" x14ac:dyDescent="0.25">
      <c r="A73" s="145">
        <v>72</v>
      </c>
      <c r="B73" s="144" t="str">
        <f t="shared" si="3"/>
        <v>H</v>
      </c>
      <c r="C73" s="143" t="str">
        <f t="shared" si="3"/>
        <v>H</v>
      </c>
      <c r="D73" s="142" t="str">
        <f t="shared" si="3"/>
        <v>H</v>
      </c>
      <c r="E73" s="141" t="str">
        <f t="shared" si="3"/>
        <v>H</v>
      </c>
    </row>
    <row r="74" spans="1:5" x14ac:dyDescent="0.25">
      <c r="A74" s="145">
        <v>73</v>
      </c>
      <c r="B74" s="144" t="str">
        <f t="shared" si="3"/>
        <v>I</v>
      </c>
      <c r="C74" s="143" t="str">
        <f t="shared" si="3"/>
        <v>I</v>
      </c>
      <c r="D74" s="142" t="str">
        <f t="shared" si="3"/>
        <v>I</v>
      </c>
      <c r="E74" s="141" t="str">
        <f t="shared" si="3"/>
        <v>I</v>
      </c>
    </row>
    <row r="75" spans="1:5" x14ac:dyDescent="0.25">
      <c r="A75" s="145">
        <v>74</v>
      </c>
      <c r="B75" s="144" t="str">
        <f t="shared" si="3"/>
        <v>J</v>
      </c>
      <c r="C75" s="143" t="str">
        <f t="shared" si="3"/>
        <v>J</v>
      </c>
      <c r="D75" s="142" t="str">
        <f t="shared" si="3"/>
        <v>J</v>
      </c>
      <c r="E75" s="141" t="str">
        <f t="shared" si="3"/>
        <v>J</v>
      </c>
    </row>
    <row r="76" spans="1:5" x14ac:dyDescent="0.25">
      <c r="A76" s="145">
        <v>75</v>
      </c>
      <c r="B76" s="144" t="str">
        <f t="shared" si="3"/>
        <v>K</v>
      </c>
      <c r="C76" s="143" t="str">
        <f t="shared" si="3"/>
        <v>K</v>
      </c>
      <c r="D76" s="142" t="str">
        <f t="shared" si="3"/>
        <v>K</v>
      </c>
      <c r="E76" s="141" t="str">
        <f t="shared" si="3"/>
        <v>K</v>
      </c>
    </row>
    <row r="77" spans="1:5" x14ac:dyDescent="0.25">
      <c r="A77" s="145">
        <v>76</v>
      </c>
      <c r="B77" s="144" t="str">
        <f t="shared" si="3"/>
        <v>L</v>
      </c>
      <c r="C77" s="143" t="str">
        <f t="shared" si="3"/>
        <v>L</v>
      </c>
      <c r="D77" s="142" t="str">
        <f t="shared" si="3"/>
        <v>L</v>
      </c>
      <c r="E77" s="141" t="str">
        <f t="shared" si="3"/>
        <v>L</v>
      </c>
    </row>
    <row r="78" spans="1:5" x14ac:dyDescent="0.25">
      <c r="A78" s="145">
        <v>77</v>
      </c>
      <c r="B78" s="144" t="str">
        <f t="shared" si="3"/>
        <v>M</v>
      </c>
      <c r="C78" s="143" t="str">
        <f t="shared" si="3"/>
        <v>M</v>
      </c>
      <c r="D78" s="142" t="str">
        <f t="shared" si="3"/>
        <v>M</v>
      </c>
      <c r="E78" s="141" t="str">
        <f t="shared" si="3"/>
        <v>M</v>
      </c>
    </row>
    <row r="79" spans="1:5" x14ac:dyDescent="0.25">
      <c r="A79" s="145">
        <v>78</v>
      </c>
      <c r="B79" s="144" t="str">
        <f t="shared" si="3"/>
        <v>N</v>
      </c>
      <c r="C79" s="143" t="str">
        <f t="shared" si="3"/>
        <v>N</v>
      </c>
      <c r="D79" s="142" t="str">
        <f t="shared" si="3"/>
        <v>N</v>
      </c>
      <c r="E79" s="141" t="str">
        <f t="shared" si="3"/>
        <v>N</v>
      </c>
    </row>
    <row r="80" spans="1:5" x14ac:dyDescent="0.25">
      <c r="A80" s="145">
        <v>79</v>
      </c>
      <c r="B80" s="144" t="str">
        <f t="shared" si="3"/>
        <v>O</v>
      </c>
      <c r="C80" s="143" t="str">
        <f t="shared" si="3"/>
        <v>O</v>
      </c>
      <c r="D80" s="142" t="str">
        <f t="shared" si="3"/>
        <v>O</v>
      </c>
      <c r="E80" s="141" t="str">
        <f t="shared" si="3"/>
        <v>O</v>
      </c>
    </row>
    <row r="81" spans="1:5" x14ac:dyDescent="0.25">
      <c r="A81" s="145">
        <v>80</v>
      </c>
      <c r="B81" s="144" t="str">
        <f t="shared" si="3"/>
        <v>P</v>
      </c>
      <c r="C81" s="143" t="str">
        <f t="shared" si="3"/>
        <v>P</v>
      </c>
      <c r="D81" s="142" t="str">
        <f t="shared" si="3"/>
        <v>P</v>
      </c>
      <c r="E81" s="141" t="str">
        <f t="shared" si="3"/>
        <v>P</v>
      </c>
    </row>
    <row r="82" spans="1:5" x14ac:dyDescent="0.25">
      <c r="A82" s="145">
        <v>81</v>
      </c>
      <c r="B82" s="144" t="str">
        <f t="shared" ref="B82:E101" si="4">CHAR(ROW()-1)</f>
        <v>Q</v>
      </c>
      <c r="C82" s="143" t="str">
        <f t="shared" si="4"/>
        <v>Q</v>
      </c>
      <c r="D82" s="142" t="str">
        <f t="shared" si="4"/>
        <v>Q</v>
      </c>
      <c r="E82" s="141" t="str">
        <f t="shared" si="4"/>
        <v>Q</v>
      </c>
    </row>
    <row r="83" spans="1:5" x14ac:dyDescent="0.25">
      <c r="A83" s="145">
        <v>82</v>
      </c>
      <c r="B83" s="144" t="str">
        <f t="shared" si="4"/>
        <v>R</v>
      </c>
      <c r="C83" s="143" t="str">
        <f t="shared" si="4"/>
        <v>R</v>
      </c>
      <c r="D83" s="142" t="str">
        <f t="shared" si="4"/>
        <v>R</v>
      </c>
      <c r="E83" s="141" t="str">
        <f t="shared" si="4"/>
        <v>R</v>
      </c>
    </row>
    <row r="84" spans="1:5" x14ac:dyDescent="0.25">
      <c r="A84" s="145">
        <v>83</v>
      </c>
      <c r="B84" s="144" t="str">
        <f t="shared" si="4"/>
        <v>S</v>
      </c>
      <c r="C84" s="143" t="str">
        <f t="shared" si="4"/>
        <v>S</v>
      </c>
      <c r="D84" s="142" t="str">
        <f t="shared" si="4"/>
        <v>S</v>
      </c>
      <c r="E84" s="141" t="str">
        <f t="shared" si="4"/>
        <v>S</v>
      </c>
    </row>
    <row r="85" spans="1:5" x14ac:dyDescent="0.25">
      <c r="A85" s="145">
        <v>84</v>
      </c>
      <c r="B85" s="144" t="str">
        <f t="shared" si="4"/>
        <v>T</v>
      </c>
      <c r="C85" s="143" t="str">
        <f t="shared" si="4"/>
        <v>T</v>
      </c>
      <c r="D85" s="142" t="str">
        <f t="shared" si="4"/>
        <v>T</v>
      </c>
      <c r="E85" s="141" t="str">
        <f t="shared" si="4"/>
        <v>T</v>
      </c>
    </row>
    <row r="86" spans="1:5" x14ac:dyDescent="0.25">
      <c r="A86" s="145">
        <v>85</v>
      </c>
      <c r="B86" s="144" t="str">
        <f t="shared" si="4"/>
        <v>U</v>
      </c>
      <c r="C86" s="143" t="str">
        <f t="shared" si="4"/>
        <v>U</v>
      </c>
      <c r="D86" s="142" t="str">
        <f t="shared" si="4"/>
        <v>U</v>
      </c>
      <c r="E86" s="141" t="str">
        <f t="shared" si="4"/>
        <v>U</v>
      </c>
    </row>
    <row r="87" spans="1:5" x14ac:dyDescent="0.25">
      <c r="A87" s="145">
        <v>86</v>
      </c>
      <c r="B87" s="144" t="str">
        <f t="shared" si="4"/>
        <v>V</v>
      </c>
      <c r="C87" s="143" t="str">
        <f t="shared" si="4"/>
        <v>V</v>
      </c>
      <c r="D87" s="142" t="str">
        <f t="shared" si="4"/>
        <v>V</v>
      </c>
      <c r="E87" s="141" t="str">
        <f t="shared" si="4"/>
        <v>V</v>
      </c>
    </row>
    <row r="88" spans="1:5" x14ac:dyDescent="0.25">
      <c r="A88" s="145">
        <v>87</v>
      </c>
      <c r="B88" s="144" t="str">
        <f t="shared" si="4"/>
        <v>W</v>
      </c>
      <c r="C88" s="143" t="str">
        <f t="shared" si="4"/>
        <v>W</v>
      </c>
      <c r="D88" s="142" t="str">
        <f t="shared" si="4"/>
        <v>W</v>
      </c>
      <c r="E88" s="141" t="str">
        <f t="shared" si="4"/>
        <v>W</v>
      </c>
    </row>
    <row r="89" spans="1:5" x14ac:dyDescent="0.25">
      <c r="A89" s="145">
        <v>88</v>
      </c>
      <c r="B89" s="144" t="str">
        <f t="shared" si="4"/>
        <v>X</v>
      </c>
      <c r="C89" s="143" t="str">
        <f t="shared" si="4"/>
        <v>X</v>
      </c>
      <c r="D89" s="142" t="str">
        <f t="shared" si="4"/>
        <v>X</v>
      </c>
      <c r="E89" s="141" t="str">
        <f t="shared" si="4"/>
        <v>X</v>
      </c>
    </row>
    <row r="90" spans="1:5" x14ac:dyDescent="0.25">
      <c r="A90" s="145">
        <v>89</v>
      </c>
      <c r="B90" s="144" t="str">
        <f t="shared" si="4"/>
        <v>Y</v>
      </c>
      <c r="C90" s="143" t="str">
        <f t="shared" si="4"/>
        <v>Y</v>
      </c>
      <c r="D90" s="142" t="str">
        <f t="shared" si="4"/>
        <v>Y</v>
      </c>
      <c r="E90" s="141" t="str">
        <f t="shared" si="4"/>
        <v>Y</v>
      </c>
    </row>
    <row r="91" spans="1:5" x14ac:dyDescent="0.25">
      <c r="A91" s="145">
        <v>90</v>
      </c>
      <c r="B91" s="144" t="str">
        <f t="shared" si="4"/>
        <v>Z</v>
      </c>
      <c r="C91" s="143" t="str">
        <f t="shared" si="4"/>
        <v>Z</v>
      </c>
      <c r="D91" s="142" t="str">
        <f t="shared" si="4"/>
        <v>Z</v>
      </c>
      <c r="E91" s="141" t="str">
        <f t="shared" si="4"/>
        <v>Z</v>
      </c>
    </row>
    <row r="92" spans="1:5" x14ac:dyDescent="0.25">
      <c r="A92" s="145">
        <v>91</v>
      </c>
      <c r="B92" s="144" t="str">
        <f t="shared" si="4"/>
        <v>[</v>
      </c>
      <c r="C92" s="143" t="str">
        <f t="shared" si="4"/>
        <v>[</v>
      </c>
      <c r="D92" s="142" t="str">
        <f t="shared" si="4"/>
        <v>[</v>
      </c>
      <c r="E92" s="141" t="str">
        <f t="shared" si="4"/>
        <v>[</v>
      </c>
    </row>
    <row r="93" spans="1:5" x14ac:dyDescent="0.25">
      <c r="A93" s="145">
        <v>92</v>
      </c>
      <c r="B93" s="144" t="str">
        <f t="shared" si="4"/>
        <v>\</v>
      </c>
      <c r="C93" s="143" t="str">
        <f t="shared" si="4"/>
        <v>\</v>
      </c>
      <c r="D93" s="142" t="str">
        <f t="shared" si="4"/>
        <v>\</v>
      </c>
      <c r="E93" s="141" t="str">
        <f t="shared" si="4"/>
        <v>\</v>
      </c>
    </row>
    <row r="94" spans="1:5" x14ac:dyDescent="0.25">
      <c r="A94" s="145">
        <v>93</v>
      </c>
      <c r="B94" s="144" t="str">
        <f t="shared" si="4"/>
        <v>]</v>
      </c>
      <c r="C94" s="143" t="str">
        <f t="shared" si="4"/>
        <v>]</v>
      </c>
      <c r="D94" s="142" t="str">
        <f t="shared" si="4"/>
        <v>]</v>
      </c>
      <c r="E94" s="141" t="str">
        <f t="shared" si="4"/>
        <v>]</v>
      </c>
    </row>
    <row r="95" spans="1:5" x14ac:dyDescent="0.25">
      <c r="A95" s="145">
        <v>94</v>
      </c>
      <c r="B95" s="144" t="str">
        <f t="shared" si="4"/>
        <v>^</v>
      </c>
      <c r="C95" s="143" t="str">
        <f t="shared" si="4"/>
        <v>^</v>
      </c>
      <c r="D95" s="142" t="str">
        <f t="shared" si="4"/>
        <v>^</v>
      </c>
      <c r="E95" s="141" t="str">
        <f t="shared" si="4"/>
        <v>^</v>
      </c>
    </row>
    <row r="96" spans="1:5" x14ac:dyDescent="0.25">
      <c r="A96" s="145">
        <v>95</v>
      </c>
      <c r="B96" s="144" t="str">
        <f t="shared" si="4"/>
        <v>_</v>
      </c>
      <c r="C96" s="143" t="str">
        <f t="shared" si="4"/>
        <v>_</v>
      </c>
      <c r="D96" s="142" t="str">
        <f t="shared" si="4"/>
        <v>_</v>
      </c>
      <c r="E96" s="141" t="str">
        <f t="shared" si="4"/>
        <v>_</v>
      </c>
    </row>
    <row r="97" spans="1:5" x14ac:dyDescent="0.25">
      <c r="A97" s="145">
        <v>96</v>
      </c>
      <c r="B97" s="144" t="str">
        <f t="shared" si="4"/>
        <v>`</v>
      </c>
      <c r="C97" s="143" t="str">
        <f t="shared" si="4"/>
        <v>`</v>
      </c>
      <c r="D97" s="142" t="str">
        <f t="shared" si="4"/>
        <v>`</v>
      </c>
      <c r="E97" s="141" t="str">
        <f t="shared" si="4"/>
        <v>`</v>
      </c>
    </row>
    <row r="98" spans="1:5" x14ac:dyDescent="0.25">
      <c r="A98" s="145">
        <v>97</v>
      </c>
      <c r="B98" s="144" t="str">
        <f t="shared" si="4"/>
        <v>a</v>
      </c>
      <c r="C98" s="143" t="str">
        <f t="shared" si="4"/>
        <v>a</v>
      </c>
      <c r="D98" s="142" t="str">
        <f t="shared" si="4"/>
        <v>a</v>
      </c>
      <c r="E98" s="141" t="str">
        <f t="shared" si="4"/>
        <v>a</v>
      </c>
    </row>
    <row r="99" spans="1:5" x14ac:dyDescent="0.25">
      <c r="A99" s="145">
        <v>98</v>
      </c>
      <c r="B99" s="144" t="str">
        <f t="shared" si="4"/>
        <v>b</v>
      </c>
      <c r="C99" s="143" t="str">
        <f t="shared" si="4"/>
        <v>b</v>
      </c>
      <c r="D99" s="142" t="str">
        <f t="shared" si="4"/>
        <v>b</v>
      </c>
      <c r="E99" s="141" t="str">
        <f t="shared" si="4"/>
        <v>b</v>
      </c>
    </row>
    <row r="100" spans="1:5" x14ac:dyDescent="0.25">
      <c r="A100" s="145">
        <v>99</v>
      </c>
      <c r="B100" s="144" t="str">
        <f t="shared" si="4"/>
        <v>c</v>
      </c>
      <c r="C100" s="143" t="str">
        <f t="shared" si="4"/>
        <v>c</v>
      </c>
      <c r="D100" s="142" t="str">
        <f t="shared" si="4"/>
        <v>c</v>
      </c>
      <c r="E100" s="141" t="str">
        <f t="shared" si="4"/>
        <v>c</v>
      </c>
    </row>
    <row r="101" spans="1:5" x14ac:dyDescent="0.25">
      <c r="A101" s="145">
        <v>100</v>
      </c>
      <c r="B101" s="144" t="str">
        <f t="shared" si="4"/>
        <v>d</v>
      </c>
      <c r="C101" s="143" t="str">
        <f t="shared" si="4"/>
        <v>d</v>
      </c>
      <c r="D101" s="142" t="str">
        <f t="shared" si="4"/>
        <v>d</v>
      </c>
      <c r="E101" s="141" t="str">
        <f t="shared" si="4"/>
        <v>d</v>
      </c>
    </row>
    <row r="102" spans="1:5" x14ac:dyDescent="0.25">
      <c r="A102" s="145">
        <v>101</v>
      </c>
      <c r="B102" s="144" t="str">
        <f t="shared" ref="B102:E121" si="5">CHAR(ROW()-1)</f>
        <v>e</v>
      </c>
      <c r="C102" s="143" t="str">
        <f t="shared" si="5"/>
        <v>e</v>
      </c>
      <c r="D102" s="142" t="str">
        <f t="shared" si="5"/>
        <v>e</v>
      </c>
      <c r="E102" s="141" t="str">
        <f t="shared" si="5"/>
        <v>e</v>
      </c>
    </row>
    <row r="103" spans="1:5" x14ac:dyDescent="0.25">
      <c r="A103" s="145">
        <v>102</v>
      </c>
      <c r="B103" s="144" t="str">
        <f t="shared" si="5"/>
        <v>f</v>
      </c>
      <c r="C103" s="143" t="str">
        <f t="shared" si="5"/>
        <v>f</v>
      </c>
      <c r="D103" s="142" t="str">
        <f t="shared" si="5"/>
        <v>f</v>
      </c>
      <c r="E103" s="141" t="str">
        <f t="shared" si="5"/>
        <v>f</v>
      </c>
    </row>
    <row r="104" spans="1:5" x14ac:dyDescent="0.25">
      <c r="A104" s="145">
        <v>103</v>
      </c>
      <c r="B104" s="144" t="str">
        <f t="shared" si="5"/>
        <v>g</v>
      </c>
      <c r="C104" s="143" t="str">
        <f t="shared" si="5"/>
        <v>g</v>
      </c>
      <c r="D104" s="142" t="str">
        <f t="shared" si="5"/>
        <v>g</v>
      </c>
      <c r="E104" s="141" t="str">
        <f t="shared" si="5"/>
        <v>g</v>
      </c>
    </row>
    <row r="105" spans="1:5" x14ac:dyDescent="0.25">
      <c r="A105" s="145">
        <v>104</v>
      </c>
      <c r="B105" s="144" t="str">
        <f t="shared" si="5"/>
        <v>h</v>
      </c>
      <c r="C105" s="143" t="str">
        <f t="shared" si="5"/>
        <v>h</v>
      </c>
      <c r="D105" s="142" t="str">
        <f t="shared" si="5"/>
        <v>h</v>
      </c>
      <c r="E105" s="141" t="str">
        <f t="shared" si="5"/>
        <v>h</v>
      </c>
    </row>
    <row r="106" spans="1:5" x14ac:dyDescent="0.25">
      <c r="A106" s="145">
        <v>105</v>
      </c>
      <c r="B106" s="144" t="str">
        <f t="shared" si="5"/>
        <v>i</v>
      </c>
      <c r="C106" s="143" t="str">
        <f t="shared" si="5"/>
        <v>i</v>
      </c>
      <c r="D106" s="142" t="str">
        <f t="shared" si="5"/>
        <v>i</v>
      </c>
      <c r="E106" s="141" t="str">
        <f t="shared" si="5"/>
        <v>i</v>
      </c>
    </row>
    <row r="107" spans="1:5" x14ac:dyDescent="0.25">
      <c r="A107" s="145">
        <v>106</v>
      </c>
      <c r="B107" s="144" t="str">
        <f t="shared" si="5"/>
        <v>j</v>
      </c>
      <c r="C107" s="143" t="str">
        <f t="shared" si="5"/>
        <v>j</v>
      </c>
      <c r="D107" s="142" t="str">
        <f t="shared" si="5"/>
        <v>j</v>
      </c>
      <c r="E107" s="141" t="str">
        <f t="shared" si="5"/>
        <v>j</v>
      </c>
    </row>
    <row r="108" spans="1:5" x14ac:dyDescent="0.25">
      <c r="A108" s="145">
        <v>107</v>
      </c>
      <c r="B108" s="144" t="str">
        <f t="shared" si="5"/>
        <v>k</v>
      </c>
      <c r="C108" s="143" t="str">
        <f t="shared" si="5"/>
        <v>k</v>
      </c>
      <c r="D108" s="142" t="str">
        <f t="shared" si="5"/>
        <v>k</v>
      </c>
      <c r="E108" s="141" t="str">
        <f t="shared" si="5"/>
        <v>k</v>
      </c>
    </row>
    <row r="109" spans="1:5" x14ac:dyDescent="0.25">
      <c r="A109" s="145">
        <v>108</v>
      </c>
      <c r="B109" s="144" t="str">
        <f t="shared" si="5"/>
        <v>l</v>
      </c>
      <c r="C109" s="143" t="str">
        <f t="shared" si="5"/>
        <v>l</v>
      </c>
      <c r="D109" s="142" t="str">
        <f t="shared" si="5"/>
        <v>l</v>
      </c>
      <c r="E109" s="141" t="str">
        <f t="shared" si="5"/>
        <v>l</v>
      </c>
    </row>
    <row r="110" spans="1:5" x14ac:dyDescent="0.25">
      <c r="A110" s="145">
        <v>109</v>
      </c>
      <c r="B110" s="144" t="str">
        <f t="shared" si="5"/>
        <v>m</v>
      </c>
      <c r="C110" s="143" t="str">
        <f t="shared" si="5"/>
        <v>m</v>
      </c>
      <c r="D110" s="142" t="str">
        <f t="shared" si="5"/>
        <v>m</v>
      </c>
      <c r="E110" s="141" t="str">
        <f t="shared" si="5"/>
        <v>m</v>
      </c>
    </row>
    <row r="111" spans="1:5" x14ac:dyDescent="0.25">
      <c r="A111" s="145">
        <v>110</v>
      </c>
      <c r="B111" s="144" t="str">
        <f t="shared" si="5"/>
        <v>n</v>
      </c>
      <c r="C111" s="143" t="str">
        <f t="shared" si="5"/>
        <v>n</v>
      </c>
      <c r="D111" s="142" t="str">
        <f t="shared" si="5"/>
        <v>n</v>
      </c>
      <c r="E111" s="141" t="str">
        <f t="shared" si="5"/>
        <v>n</v>
      </c>
    </row>
    <row r="112" spans="1:5" x14ac:dyDescent="0.25">
      <c r="A112" s="145">
        <v>111</v>
      </c>
      <c r="B112" s="144" t="str">
        <f t="shared" si="5"/>
        <v>o</v>
      </c>
      <c r="C112" s="143" t="str">
        <f t="shared" si="5"/>
        <v>o</v>
      </c>
      <c r="D112" s="142" t="str">
        <f t="shared" si="5"/>
        <v>o</v>
      </c>
      <c r="E112" s="141" t="str">
        <f t="shared" si="5"/>
        <v>o</v>
      </c>
    </row>
    <row r="113" spans="1:5" x14ac:dyDescent="0.25">
      <c r="A113" s="145">
        <v>112</v>
      </c>
      <c r="B113" s="144" t="str">
        <f t="shared" si="5"/>
        <v>p</v>
      </c>
      <c r="C113" s="143" t="str">
        <f t="shared" si="5"/>
        <v>p</v>
      </c>
      <c r="D113" s="142" t="str">
        <f t="shared" si="5"/>
        <v>p</v>
      </c>
      <c r="E113" s="141" t="str">
        <f t="shared" si="5"/>
        <v>p</v>
      </c>
    </row>
    <row r="114" spans="1:5" x14ac:dyDescent="0.25">
      <c r="A114" s="145">
        <v>113</v>
      </c>
      <c r="B114" s="144" t="str">
        <f t="shared" si="5"/>
        <v>q</v>
      </c>
      <c r="C114" s="143" t="str">
        <f t="shared" si="5"/>
        <v>q</v>
      </c>
      <c r="D114" s="142" t="str">
        <f t="shared" si="5"/>
        <v>q</v>
      </c>
      <c r="E114" s="141" t="str">
        <f t="shared" si="5"/>
        <v>q</v>
      </c>
    </row>
    <row r="115" spans="1:5" x14ac:dyDescent="0.25">
      <c r="A115" s="145">
        <v>114</v>
      </c>
      <c r="B115" s="144" t="str">
        <f t="shared" si="5"/>
        <v>r</v>
      </c>
      <c r="C115" s="143" t="str">
        <f t="shared" si="5"/>
        <v>r</v>
      </c>
      <c r="D115" s="142" t="str">
        <f t="shared" si="5"/>
        <v>r</v>
      </c>
      <c r="E115" s="141" t="str">
        <f t="shared" si="5"/>
        <v>r</v>
      </c>
    </row>
    <row r="116" spans="1:5" x14ac:dyDescent="0.25">
      <c r="A116" s="145">
        <v>115</v>
      </c>
      <c r="B116" s="144" t="str">
        <f t="shared" si="5"/>
        <v>s</v>
      </c>
      <c r="C116" s="143" t="str">
        <f t="shared" si="5"/>
        <v>s</v>
      </c>
      <c r="D116" s="142" t="str">
        <f t="shared" si="5"/>
        <v>s</v>
      </c>
      <c r="E116" s="141" t="str">
        <f t="shared" si="5"/>
        <v>s</v>
      </c>
    </row>
    <row r="117" spans="1:5" x14ac:dyDescent="0.25">
      <c r="A117" s="145">
        <v>116</v>
      </c>
      <c r="B117" s="144" t="str">
        <f t="shared" si="5"/>
        <v>t</v>
      </c>
      <c r="C117" s="143" t="str">
        <f t="shared" si="5"/>
        <v>t</v>
      </c>
      <c r="D117" s="142" t="str">
        <f t="shared" si="5"/>
        <v>t</v>
      </c>
      <c r="E117" s="141" t="str">
        <f t="shared" si="5"/>
        <v>t</v>
      </c>
    </row>
    <row r="118" spans="1:5" x14ac:dyDescent="0.25">
      <c r="A118" s="145">
        <v>117</v>
      </c>
      <c r="B118" s="144" t="str">
        <f t="shared" si="5"/>
        <v>u</v>
      </c>
      <c r="C118" s="143" t="str">
        <f t="shared" si="5"/>
        <v>u</v>
      </c>
      <c r="D118" s="142" t="str">
        <f t="shared" si="5"/>
        <v>u</v>
      </c>
      <c r="E118" s="141" t="str">
        <f t="shared" si="5"/>
        <v>u</v>
      </c>
    </row>
    <row r="119" spans="1:5" x14ac:dyDescent="0.25">
      <c r="A119" s="145">
        <v>118</v>
      </c>
      <c r="B119" s="144" t="str">
        <f t="shared" si="5"/>
        <v>v</v>
      </c>
      <c r="C119" s="143" t="str">
        <f t="shared" si="5"/>
        <v>v</v>
      </c>
      <c r="D119" s="142" t="str">
        <f t="shared" si="5"/>
        <v>v</v>
      </c>
      <c r="E119" s="141" t="str">
        <f t="shared" si="5"/>
        <v>v</v>
      </c>
    </row>
    <row r="120" spans="1:5" x14ac:dyDescent="0.25">
      <c r="A120" s="145">
        <v>119</v>
      </c>
      <c r="B120" s="144" t="str">
        <f t="shared" si="5"/>
        <v>w</v>
      </c>
      <c r="C120" s="143" t="str">
        <f t="shared" si="5"/>
        <v>w</v>
      </c>
      <c r="D120" s="142" t="str">
        <f t="shared" si="5"/>
        <v>w</v>
      </c>
      <c r="E120" s="141" t="str">
        <f t="shared" si="5"/>
        <v>w</v>
      </c>
    </row>
    <row r="121" spans="1:5" x14ac:dyDescent="0.25">
      <c r="A121" s="145">
        <v>120</v>
      </c>
      <c r="B121" s="144" t="str">
        <f t="shared" si="5"/>
        <v>x</v>
      </c>
      <c r="C121" s="143" t="str">
        <f t="shared" si="5"/>
        <v>x</v>
      </c>
      <c r="D121" s="142" t="str">
        <f t="shared" si="5"/>
        <v>x</v>
      </c>
      <c r="E121" s="141" t="str">
        <f t="shared" si="5"/>
        <v>x</v>
      </c>
    </row>
    <row r="122" spans="1:5" x14ac:dyDescent="0.25">
      <c r="A122" s="145">
        <v>121</v>
      </c>
      <c r="B122" s="144" t="str">
        <f t="shared" ref="B122:E141" si="6">CHAR(ROW()-1)</f>
        <v>y</v>
      </c>
      <c r="C122" s="143" t="str">
        <f t="shared" si="6"/>
        <v>y</v>
      </c>
      <c r="D122" s="142" t="str">
        <f t="shared" si="6"/>
        <v>y</v>
      </c>
      <c r="E122" s="141" t="str">
        <f t="shared" si="6"/>
        <v>y</v>
      </c>
    </row>
    <row r="123" spans="1:5" x14ac:dyDescent="0.25">
      <c r="A123" s="145">
        <v>122</v>
      </c>
      <c r="B123" s="144" t="str">
        <f t="shared" si="6"/>
        <v>z</v>
      </c>
      <c r="C123" s="143" t="str">
        <f t="shared" si="6"/>
        <v>z</v>
      </c>
      <c r="D123" s="142" t="str">
        <f t="shared" si="6"/>
        <v>z</v>
      </c>
      <c r="E123" s="141" t="str">
        <f t="shared" si="6"/>
        <v>z</v>
      </c>
    </row>
    <row r="124" spans="1:5" x14ac:dyDescent="0.25">
      <c r="A124" s="145">
        <v>123</v>
      </c>
      <c r="B124" s="144" t="str">
        <f t="shared" si="6"/>
        <v>{</v>
      </c>
      <c r="C124" s="143" t="str">
        <f t="shared" si="6"/>
        <v>{</v>
      </c>
      <c r="D124" s="142" t="str">
        <f t="shared" si="6"/>
        <v>{</v>
      </c>
      <c r="E124" s="141" t="str">
        <f t="shared" si="6"/>
        <v>{</v>
      </c>
    </row>
    <row r="125" spans="1:5" x14ac:dyDescent="0.25">
      <c r="A125" s="145">
        <v>124</v>
      </c>
      <c r="B125" s="144" t="str">
        <f t="shared" si="6"/>
        <v>|</v>
      </c>
      <c r="C125" s="143" t="str">
        <f t="shared" si="6"/>
        <v>|</v>
      </c>
      <c r="D125" s="142" t="str">
        <f t="shared" si="6"/>
        <v>|</v>
      </c>
      <c r="E125" s="141" t="str">
        <f t="shared" si="6"/>
        <v>|</v>
      </c>
    </row>
    <row r="126" spans="1:5" x14ac:dyDescent="0.25">
      <c r="A126" s="145">
        <v>125</v>
      </c>
      <c r="B126" s="144" t="str">
        <f t="shared" si="6"/>
        <v>}</v>
      </c>
      <c r="C126" s="143" t="str">
        <f t="shared" si="6"/>
        <v>}</v>
      </c>
      <c r="D126" s="142" t="str">
        <f t="shared" si="6"/>
        <v>}</v>
      </c>
      <c r="E126" s="141" t="str">
        <f t="shared" si="6"/>
        <v>}</v>
      </c>
    </row>
    <row r="127" spans="1:5" x14ac:dyDescent="0.25">
      <c r="A127" s="145">
        <v>126</v>
      </c>
      <c r="B127" s="144" t="str">
        <f t="shared" si="6"/>
        <v>~</v>
      </c>
      <c r="C127" s="143" t="str">
        <f t="shared" si="6"/>
        <v>~</v>
      </c>
      <c r="D127" s="142" t="str">
        <f t="shared" si="6"/>
        <v>~</v>
      </c>
      <c r="E127" s="141" t="str">
        <f t="shared" si="6"/>
        <v>~</v>
      </c>
    </row>
    <row r="128" spans="1:5" x14ac:dyDescent="0.25">
      <c r="A128" s="145">
        <v>127</v>
      </c>
      <c r="B128" s="144" t="str">
        <f t="shared" si="6"/>
        <v></v>
      </c>
      <c r="C128" s="143" t="str">
        <f t="shared" si="6"/>
        <v></v>
      </c>
      <c r="D128" s="142" t="str">
        <f t="shared" si="6"/>
        <v></v>
      </c>
      <c r="E128" s="141" t="str">
        <f t="shared" si="6"/>
        <v></v>
      </c>
    </row>
    <row r="129" spans="1:5" x14ac:dyDescent="0.25">
      <c r="A129" s="145">
        <v>128</v>
      </c>
      <c r="B129" s="144" t="str">
        <f t="shared" si="6"/>
        <v>€</v>
      </c>
      <c r="C129" s="143" t="str">
        <f t="shared" si="6"/>
        <v>€</v>
      </c>
      <c r="D129" s="142" t="str">
        <f t="shared" si="6"/>
        <v>€</v>
      </c>
      <c r="E129" s="141" t="str">
        <f t="shared" si="6"/>
        <v>€</v>
      </c>
    </row>
    <row r="130" spans="1:5" x14ac:dyDescent="0.25">
      <c r="A130" s="145">
        <v>129</v>
      </c>
      <c r="B130" s="144" t="str">
        <f t="shared" si="6"/>
        <v></v>
      </c>
      <c r="C130" s="143" t="str">
        <f t="shared" si="6"/>
        <v></v>
      </c>
      <c r="D130" s="142" t="str">
        <f t="shared" si="6"/>
        <v></v>
      </c>
      <c r="E130" s="141" t="str">
        <f t="shared" si="6"/>
        <v></v>
      </c>
    </row>
    <row r="131" spans="1:5" x14ac:dyDescent="0.25">
      <c r="A131" s="145">
        <v>130</v>
      </c>
      <c r="B131" s="144" t="str">
        <f t="shared" si="6"/>
        <v>‚</v>
      </c>
      <c r="C131" s="143" t="str">
        <f t="shared" si="6"/>
        <v>‚</v>
      </c>
      <c r="D131" s="142" t="str">
        <f t="shared" si="6"/>
        <v>‚</v>
      </c>
      <c r="E131" s="141" t="str">
        <f t="shared" si="6"/>
        <v>‚</v>
      </c>
    </row>
    <row r="132" spans="1:5" x14ac:dyDescent="0.25">
      <c r="A132" s="145">
        <v>131</v>
      </c>
      <c r="B132" s="144" t="str">
        <f t="shared" si="6"/>
        <v>ƒ</v>
      </c>
      <c r="C132" s="143" t="str">
        <f t="shared" si="6"/>
        <v>ƒ</v>
      </c>
      <c r="D132" s="142" t="str">
        <f t="shared" si="6"/>
        <v>ƒ</v>
      </c>
      <c r="E132" s="141" t="str">
        <f t="shared" si="6"/>
        <v>ƒ</v>
      </c>
    </row>
    <row r="133" spans="1:5" x14ac:dyDescent="0.25">
      <c r="A133" s="145">
        <v>132</v>
      </c>
      <c r="B133" s="144" t="str">
        <f t="shared" si="6"/>
        <v>„</v>
      </c>
      <c r="C133" s="143" t="str">
        <f t="shared" si="6"/>
        <v>„</v>
      </c>
      <c r="D133" s="142" t="str">
        <f t="shared" si="6"/>
        <v>„</v>
      </c>
      <c r="E133" s="141" t="str">
        <f t="shared" si="6"/>
        <v>„</v>
      </c>
    </row>
    <row r="134" spans="1:5" x14ac:dyDescent="0.25">
      <c r="A134" s="145">
        <v>133</v>
      </c>
      <c r="B134" s="144" t="str">
        <f t="shared" si="6"/>
        <v>…</v>
      </c>
      <c r="C134" s="143" t="str">
        <f t="shared" si="6"/>
        <v>…</v>
      </c>
      <c r="D134" s="142" t="str">
        <f t="shared" si="6"/>
        <v>…</v>
      </c>
      <c r="E134" s="141" t="str">
        <f t="shared" si="6"/>
        <v>…</v>
      </c>
    </row>
    <row r="135" spans="1:5" x14ac:dyDescent="0.25">
      <c r="A135" s="145">
        <v>134</v>
      </c>
      <c r="B135" s="144" t="str">
        <f t="shared" si="6"/>
        <v>†</v>
      </c>
      <c r="C135" s="143" t="str">
        <f t="shared" si="6"/>
        <v>†</v>
      </c>
      <c r="D135" s="142" t="str">
        <f t="shared" si="6"/>
        <v>†</v>
      </c>
      <c r="E135" s="141" t="str">
        <f t="shared" si="6"/>
        <v>†</v>
      </c>
    </row>
    <row r="136" spans="1:5" x14ac:dyDescent="0.25">
      <c r="A136" s="145">
        <v>135</v>
      </c>
      <c r="B136" s="144" t="str">
        <f t="shared" si="6"/>
        <v>‡</v>
      </c>
      <c r="C136" s="143" t="str">
        <f t="shared" si="6"/>
        <v>‡</v>
      </c>
      <c r="D136" s="142" t="str">
        <f t="shared" si="6"/>
        <v>‡</v>
      </c>
      <c r="E136" s="141" t="str">
        <f t="shared" si="6"/>
        <v>‡</v>
      </c>
    </row>
    <row r="137" spans="1:5" x14ac:dyDescent="0.25">
      <c r="A137" s="145">
        <v>136</v>
      </c>
      <c r="B137" s="144" t="str">
        <f t="shared" si="6"/>
        <v>ˆ</v>
      </c>
      <c r="C137" s="143" t="str">
        <f t="shared" si="6"/>
        <v>ˆ</v>
      </c>
      <c r="D137" s="142" t="str">
        <f t="shared" si="6"/>
        <v>ˆ</v>
      </c>
      <c r="E137" s="141" t="str">
        <f t="shared" si="6"/>
        <v>ˆ</v>
      </c>
    </row>
    <row r="138" spans="1:5" x14ac:dyDescent="0.25">
      <c r="A138" s="145">
        <v>137</v>
      </c>
      <c r="B138" s="144" t="str">
        <f t="shared" si="6"/>
        <v>‰</v>
      </c>
      <c r="C138" s="143" t="str">
        <f t="shared" si="6"/>
        <v>‰</v>
      </c>
      <c r="D138" s="142" t="str">
        <f t="shared" si="6"/>
        <v>‰</v>
      </c>
      <c r="E138" s="141" t="str">
        <f t="shared" si="6"/>
        <v>‰</v>
      </c>
    </row>
    <row r="139" spans="1:5" x14ac:dyDescent="0.25">
      <c r="A139" s="145">
        <v>138</v>
      </c>
      <c r="B139" s="144" t="str">
        <f t="shared" si="6"/>
        <v>Š</v>
      </c>
      <c r="C139" s="143" t="str">
        <f t="shared" si="6"/>
        <v>Š</v>
      </c>
      <c r="D139" s="142" t="str">
        <f t="shared" si="6"/>
        <v>Š</v>
      </c>
      <c r="E139" s="141" t="str">
        <f t="shared" si="6"/>
        <v>Š</v>
      </c>
    </row>
    <row r="140" spans="1:5" x14ac:dyDescent="0.25">
      <c r="A140" s="145">
        <v>139</v>
      </c>
      <c r="B140" s="144" t="str">
        <f t="shared" si="6"/>
        <v>‹</v>
      </c>
      <c r="C140" s="143" t="str">
        <f t="shared" si="6"/>
        <v>‹</v>
      </c>
      <c r="D140" s="142" t="str">
        <f t="shared" si="6"/>
        <v>‹</v>
      </c>
      <c r="E140" s="141" t="str">
        <f t="shared" si="6"/>
        <v>‹</v>
      </c>
    </row>
    <row r="141" spans="1:5" x14ac:dyDescent="0.25">
      <c r="A141" s="145">
        <v>140</v>
      </c>
      <c r="B141" s="144" t="str">
        <f t="shared" si="6"/>
        <v>Œ</v>
      </c>
      <c r="C141" s="143" t="str">
        <f t="shared" si="6"/>
        <v>Œ</v>
      </c>
      <c r="D141" s="142" t="str">
        <f t="shared" si="6"/>
        <v>Œ</v>
      </c>
      <c r="E141" s="141" t="str">
        <f t="shared" si="6"/>
        <v>Œ</v>
      </c>
    </row>
    <row r="142" spans="1:5" x14ac:dyDescent="0.25">
      <c r="A142" s="145">
        <v>141</v>
      </c>
      <c r="B142" s="144" t="str">
        <f t="shared" ref="B142:E161" si="7">CHAR(ROW()-1)</f>
        <v></v>
      </c>
      <c r="C142" s="143" t="str">
        <f t="shared" si="7"/>
        <v></v>
      </c>
      <c r="D142" s="142" t="str">
        <f t="shared" si="7"/>
        <v></v>
      </c>
      <c r="E142" s="141" t="str">
        <f t="shared" si="7"/>
        <v></v>
      </c>
    </row>
    <row r="143" spans="1:5" x14ac:dyDescent="0.25">
      <c r="A143" s="145">
        <v>142</v>
      </c>
      <c r="B143" s="144" t="str">
        <f t="shared" si="7"/>
        <v>Ž</v>
      </c>
      <c r="C143" s="143" t="str">
        <f t="shared" si="7"/>
        <v>Ž</v>
      </c>
      <c r="D143" s="142" t="str">
        <f t="shared" si="7"/>
        <v>Ž</v>
      </c>
      <c r="E143" s="141" t="str">
        <f t="shared" si="7"/>
        <v>Ž</v>
      </c>
    </row>
    <row r="144" spans="1:5" x14ac:dyDescent="0.25">
      <c r="A144" s="145">
        <v>143</v>
      </c>
      <c r="B144" s="144" t="str">
        <f t="shared" si="7"/>
        <v></v>
      </c>
      <c r="C144" s="143" t="str">
        <f t="shared" si="7"/>
        <v></v>
      </c>
      <c r="D144" s="142" t="str">
        <f t="shared" si="7"/>
        <v></v>
      </c>
      <c r="E144" s="141" t="str">
        <f t="shared" si="7"/>
        <v></v>
      </c>
    </row>
    <row r="145" spans="1:5" x14ac:dyDescent="0.25">
      <c r="A145" s="145">
        <v>144</v>
      </c>
      <c r="B145" s="144" t="str">
        <f t="shared" si="7"/>
        <v></v>
      </c>
      <c r="C145" s="143" t="str">
        <f t="shared" si="7"/>
        <v></v>
      </c>
      <c r="D145" s="142" t="str">
        <f t="shared" si="7"/>
        <v></v>
      </c>
      <c r="E145" s="141" t="str">
        <f t="shared" si="7"/>
        <v></v>
      </c>
    </row>
    <row r="146" spans="1:5" x14ac:dyDescent="0.25">
      <c r="A146" s="145">
        <v>145</v>
      </c>
      <c r="B146" s="144" t="str">
        <f t="shared" si="7"/>
        <v>‘</v>
      </c>
      <c r="C146" s="143" t="str">
        <f t="shared" si="7"/>
        <v>‘</v>
      </c>
      <c r="D146" s="142" t="str">
        <f t="shared" si="7"/>
        <v>‘</v>
      </c>
      <c r="E146" s="141" t="str">
        <f t="shared" si="7"/>
        <v>‘</v>
      </c>
    </row>
    <row r="147" spans="1:5" x14ac:dyDescent="0.25">
      <c r="A147" s="145">
        <v>146</v>
      </c>
      <c r="B147" s="144" t="str">
        <f t="shared" si="7"/>
        <v>’</v>
      </c>
      <c r="C147" s="143" t="str">
        <f t="shared" si="7"/>
        <v>’</v>
      </c>
      <c r="D147" s="142" t="str">
        <f t="shared" si="7"/>
        <v>’</v>
      </c>
      <c r="E147" s="141" t="str">
        <f t="shared" si="7"/>
        <v>’</v>
      </c>
    </row>
    <row r="148" spans="1:5" x14ac:dyDescent="0.25">
      <c r="A148" s="145">
        <v>147</v>
      </c>
      <c r="B148" s="144" t="str">
        <f t="shared" si="7"/>
        <v>“</v>
      </c>
      <c r="C148" s="143" t="str">
        <f t="shared" si="7"/>
        <v>“</v>
      </c>
      <c r="D148" s="142" t="str">
        <f t="shared" si="7"/>
        <v>“</v>
      </c>
      <c r="E148" s="141" t="str">
        <f t="shared" si="7"/>
        <v>“</v>
      </c>
    </row>
    <row r="149" spans="1:5" x14ac:dyDescent="0.25">
      <c r="A149" s="145">
        <v>148</v>
      </c>
      <c r="B149" s="144" t="str">
        <f t="shared" si="7"/>
        <v>”</v>
      </c>
      <c r="C149" s="143" t="str">
        <f t="shared" si="7"/>
        <v>”</v>
      </c>
      <c r="D149" s="142" t="str">
        <f t="shared" si="7"/>
        <v>”</v>
      </c>
      <c r="E149" s="141" t="str">
        <f t="shared" si="7"/>
        <v>”</v>
      </c>
    </row>
    <row r="150" spans="1:5" x14ac:dyDescent="0.25">
      <c r="A150" s="145">
        <v>149</v>
      </c>
      <c r="B150" s="144" t="str">
        <f t="shared" si="7"/>
        <v>•</v>
      </c>
      <c r="C150" s="143" t="str">
        <f t="shared" si="7"/>
        <v>•</v>
      </c>
      <c r="D150" s="142" t="str">
        <f t="shared" si="7"/>
        <v>•</v>
      </c>
      <c r="E150" s="141" t="str">
        <f t="shared" si="7"/>
        <v>•</v>
      </c>
    </row>
    <row r="151" spans="1:5" x14ac:dyDescent="0.25">
      <c r="A151" s="145">
        <v>150</v>
      </c>
      <c r="B151" s="144" t="str">
        <f t="shared" si="7"/>
        <v>–</v>
      </c>
      <c r="C151" s="143" t="str">
        <f t="shared" si="7"/>
        <v>–</v>
      </c>
      <c r="D151" s="142" t="str">
        <f t="shared" si="7"/>
        <v>–</v>
      </c>
      <c r="E151" s="141" t="str">
        <f t="shared" si="7"/>
        <v>–</v>
      </c>
    </row>
    <row r="152" spans="1:5" x14ac:dyDescent="0.25">
      <c r="A152" s="145">
        <v>151</v>
      </c>
      <c r="B152" s="144" t="str">
        <f t="shared" si="7"/>
        <v>—</v>
      </c>
      <c r="C152" s="143" t="str">
        <f t="shared" si="7"/>
        <v>—</v>
      </c>
      <c r="D152" s="142" t="str">
        <f t="shared" si="7"/>
        <v>—</v>
      </c>
      <c r="E152" s="141" t="str">
        <f t="shared" si="7"/>
        <v>—</v>
      </c>
    </row>
    <row r="153" spans="1:5" x14ac:dyDescent="0.25">
      <c r="A153" s="145">
        <v>152</v>
      </c>
      <c r="B153" s="144" t="str">
        <f t="shared" si="7"/>
        <v>˜</v>
      </c>
      <c r="C153" s="143" t="str">
        <f t="shared" si="7"/>
        <v>˜</v>
      </c>
      <c r="D153" s="142" t="str">
        <f t="shared" si="7"/>
        <v>˜</v>
      </c>
      <c r="E153" s="141" t="str">
        <f t="shared" si="7"/>
        <v>˜</v>
      </c>
    </row>
    <row r="154" spans="1:5" x14ac:dyDescent="0.25">
      <c r="A154" s="145">
        <v>153</v>
      </c>
      <c r="B154" s="144" t="str">
        <f t="shared" si="7"/>
        <v>™</v>
      </c>
      <c r="C154" s="143" t="str">
        <f t="shared" si="7"/>
        <v>™</v>
      </c>
      <c r="D154" s="142" t="str">
        <f t="shared" si="7"/>
        <v>™</v>
      </c>
      <c r="E154" s="141" t="str">
        <f t="shared" si="7"/>
        <v>™</v>
      </c>
    </row>
    <row r="155" spans="1:5" x14ac:dyDescent="0.25">
      <c r="A155" s="145">
        <v>154</v>
      </c>
      <c r="B155" s="144" t="str">
        <f t="shared" si="7"/>
        <v>š</v>
      </c>
      <c r="C155" s="143" t="str">
        <f t="shared" si="7"/>
        <v>š</v>
      </c>
      <c r="D155" s="142" t="str">
        <f t="shared" si="7"/>
        <v>š</v>
      </c>
      <c r="E155" s="141" t="str">
        <f t="shared" si="7"/>
        <v>š</v>
      </c>
    </row>
    <row r="156" spans="1:5" x14ac:dyDescent="0.25">
      <c r="A156" s="145">
        <v>155</v>
      </c>
      <c r="B156" s="144" t="str">
        <f t="shared" si="7"/>
        <v>›</v>
      </c>
      <c r="C156" s="143" t="str">
        <f t="shared" si="7"/>
        <v>›</v>
      </c>
      <c r="D156" s="142" t="str">
        <f t="shared" si="7"/>
        <v>›</v>
      </c>
      <c r="E156" s="141" t="str">
        <f t="shared" si="7"/>
        <v>›</v>
      </c>
    </row>
    <row r="157" spans="1:5" x14ac:dyDescent="0.25">
      <c r="A157" s="145">
        <v>156</v>
      </c>
      <c r="B157" s="144" t="str">
        <f t="shared" si="7"/>
        <v>œ</v>
      </c>
      <c r="C157" s="143" t="str">
        <f t="shared" si="7"/>
        <v>œ</v>
      </c>
      <c r="D157" s="142" t="str">
        <f t="shared" si="7"/>
        <v>œ</v>
      </c>
      <c r="E157" s="141" t="str">
        <f t="shared" si="7"/>
        <v>œ</v>
      </c>
    </row>
    <row r="158" spans="1:5" x14ac:dyDescent="0.25">
      <c r="A158" s="145">
        <v>157</v>
      </c>
      <c r="B158" s="144" t="str">
        <f t="shared" si="7"/>
        <v></v>
      </c>
      <c r="C158" s="143" t="str">
        <f t="shared" si="7"/>
        <v></v>
      </c>
      <c r="D158" s="142" t="str">
        <f t="shared" si="7"/>
        <v></v>
      </c>
      <c r="E158" s="141" t="str">
        <f t="shared" si="7"/>
        <v></v>
      </c>
    </row>
    <row r="159" spans="1:5" x14ac:dyDescent="0.25">
      <c r="A159" s="145">
        <v>158</v>
      </c>
      <c r="B159" s="144" t="str">
        <f t="shared" si="7"/>
        <v>ž</v>
      </c>
      <c r="C159" s="143" t="str">
        <f t="shared" si="7"/>
        <v>ž</v>
      </c>
      <c r="D159" s="142" t="str">
        <f t="shared" si="7"/>
        <v>ž</v>
      </c>
      <c r="E159" s="141" t="str">
        <f t="shared" si="7"/>
        <v>ž</v>
      </c>
    </row>
    <row r="160" spans="1:5" x14ac:dyDescent="0.25">
      <c r="A160" s="145">
        <v>159</v>
      </c>
      <c r="B160" s="144" t="str">
        <f t="shared" si="7"/>
        <v>Ÿ</v>
      </c>
      <c r="C160" s="143" t="str">
        <f t="shared" si="7"/>
        <v>Ÿ</v>
      </c>
      <c r="D160" s="142" t="str">
        <f t="shared" si="7"/>
        <v>Ÿ</v>
      </c>
      <c r="E160" s="141" t="str">
        <f t="shared" si="7"/>
        <v>Ÿ</v>
      </c>
    </row>
    <row r="161" spans="1:5" x14ac:dyDescent="0.25">
      <c r="A161" s="145">
        <v>160</v>
      </c>
      <c r="B161" s="144" t="str">
        <f t="shared" si="7"/>
        <v> </v>
      </c>
      <c r="C161" s="143" t="str">
        <f t="shared" si="7"/>
        <v> </v>
      </c>
      <c r="D161" s="142" t="str">
        <f t="shared" si="7"/>
        <v> </v>
      </c>
      <c r="E161" s="141" t="str">
        <f t="shared" si="7"/>
        <v> </v>
      </c>
    </row>
    <row r="162" spans="1:5" x14ac:dyDescent="0.25">
      <c r="A162" s="145">
        <v>161</v>
      </c>
      <c r="B162" s="144" t="str">
        <f t="shared" ref="B162:E181" si="8">CHAR(ROW()-1)</f>
        <v>¡</v>
      </c>
      <c r="C162" s="143" t="str">
        <f t="shared" si="8"/>
        <v>¡</v>
      </c>
      <c r="D162" s="142" t="str">
        <f t="shared" si="8"/>
        <v>¡</v>
      </c>
      <c r="E162" s="141" t="str">
        <f t="shared" si="8"/>
        <v>¡</v>
      </c>
    </row>
    <row r="163" spans="1:5" x14ac:dyDescent="0.25">
      <c r="A163" s="145">
        <v>162</v>
      </c>
      <c r="B163" s="144" t="str">
        <f t="shared" si="8"/>
        <v>¢</v>
      </c>
      <c r="C163" s="143" t="str">
        <f t="shared" si="8"/>
        <v>¢</v>
      </c>
      <c r="D163" s="142" t="str">
        <f t="shared" si="8"/>
        <v>¢</v>
      </c>
      <c r="E163" s="141" t="str">
        <f t="shared" si="8"/>
        <v>¢</v>
      </c>
    </row>
    <row r="164" spans="1:5" x14ac:dyDescent="0.25">
      <c r="A164" s="145">
        <v>163</v>
      </c>
      <c r="B164" s="144" t="str">
        <f t="shared" si="8"/>
        <v>£</v>
      </c>
      <c r="C164" s="143" t="str">
        <f t="shared" si="8"/>
        <v>£</v>
      </c>
      <c r="D164" s="142" t="str">
        <f t="shared" si="8"/>
        <v>£</v>
      </c>
      <c r="E164" s="141" t="str">
        <f t="shared" si="8"/>
        <v>£</v>
      </c>
    </row>
    <row r="165" spans="1:5" x14ac:dyDescent="0.25">
      <c r="A165" s="145">
        <v>164</v>
      </c>
      <c r="B165" s="144" t="str">
        <f t="shared" si="8"/>
        <v>¤</v>
      </c>
      <c r="C165" s="143" t="str">
        <f t="shared" si="8"/>
        <v>¤</v>
      </c>
      <c r="D165" s="142" t="str">
        <f t="shared" si="8"/>
        <v>¤</v>
      </c>
      <c r="E165" s="141" t="str">
        <f t="shared" si="8"/>
        <v>¤</v>
      </c>
    </row>
    <row r="166" spans="1:5" x14ac:dyDescent="0.25">
      <c r="A166" s="145">
        <v>165</v>
      </c>
      <c r="B166" s="144" t="str">
        <f t="shared" si="8"/>
        <v>¥</v>
      </c>
      <c r="C166" s="143" t="str">
        <f t="shared" si="8"/>
        <v>¥</v>
      </c>
      <c r="D166" s="142" t="str">
        <f t="shared" si="8"/>
        <v>¥</v>
      </c>
      <c r="E166" s="141" t="str">
        <f t="shared" si="8"/>
        <v>¥</v>
      </c>
    </row>
    <row r="167" spans="1:5" x14ac:dyDescent="0.25">
      <c r="A167" s="145">
        <v>166</v>
      </c>
      <c r="B167" s="144" t="str">
        <f t="shared" si="8"/>
        <v>¦</v>
      </c>
      <c r="C167" s="143" t="str">
        <f t="shared" si="8"/>
        <v>¦</v>
      </c>
      <c r="D167" s="142" t="str">
        <f t="shared" si="8"/>
        <v>¦</v>
      </c>
      <c r="E167" s="141" t="str">
        <f t="shared" si="8"/>
        <v>¦</v>
      </c>
    </row>
    <row r="168" spans="1:5" x14ac:dyDescent="0.25">
      <c r="A168" s="145">
        <v>167</v>
      </c>
      <c r="B168" s="144" t="str">
        <f t="shared" si="8"/>
        <v>§</v>
      </c>
      <c r="C168" s="143" t="str">
        <f t="shared" si="8"/>
        <v>§</v>
      </c>
      <c r="D168" s="142" t="str">
        <f t="shared" si="8"/>
        <v>§</v>
      </c>
      <c r="E168" s="141" t="str">
        <f t="shared" si="8"/>
        <v>§</v>
      </c>
    </row>
    <row r="169" spans="1:5" x14ac:dyDescent="0.25">
      <c r="A169" s="145">
        <v>168</v>
      </c>
      <c r="B169" s="144" t="str">
        <f t="shared" si="8"/>
        <v>¨</v>
      </c>
      <c r="C169" s="143" t="str">
        <f t="shared" si="8"/>
        <v>¨</v>
      </c>
      <c r="D169" s="142" t="str">
        <f t="shared" si="8"/>
        <v>¨</v>
      </c>
      <c r="E169" s="141" t="str">
        <f t="shared" si="8"/>
        <v>¨</v>
      </c>
    </row>
    <row r="170" spans="1:5" x14ac:dyDescent="0.25">
      <c r="A170" s="145">
        <v>169</v>
      </c>
      <c r="B170" s="144" t="str">
        <f t="shared" si="8"/>
        <v>©</v>
      </c>
      <c r="C170" s="143" t="str">
        <f t="shared" si="8"/>
        <v>©</v>
      </c>
      <c r="D170" s="142" t="str">
        <f t="shared" si="8"/>
        <v>©</v>
      </c>
      <c r="E170" s="141" t="str">
        <f t="shared" si="8"/>
        <v>©</v>
      </c>
    </row>
    <row r="171" spans="1:5" x14ac:dyDescent="0.25">
      <c r="A171" s="145">
        <v>170</v>
      </c>
      <c r="B171" s="144" t="str">
        <f t="shared" si="8"/>
        <v>ª</v>
      </c>
      <c r="C171" s="143" t="str">
        <f t="shared" si="8"/>
        <v>ª</v>
      </c>
      <c r="D171" s="142" t="str">
        <f t="shared" si="8"/>
        <v>ª</v>
      </c>
      <c r="E171" s="141" t="str">
        <f t="shared" si="8"/>
        <v>ª</v>
      </c>
    </row>
    <row r="172" spans="1:5" x14ac:dyDescent="0.25">
      <c r="A172" s="145">
        <v>171</v>
      </c>
      <c r="B172" s="144" t="str">
        <f t="shared" si="8"/>
        <v>«</v>
      </c>
      <c r="C172" s="143" t="str">
        <f t="shared" si="8"/>
        <v>«</v>
      </c>
      <c r="D172" s="142" t="str">
        <f t="shared" si="8"/>
        <v>«</v>
      </c>
      <c r="E172" s="141" t="str">
        <f t="shared" si="8"/>
        <v>«</v>
      </c>
    </row>
    <row r="173" spans="1:5" x14ac:dyDescent="0.25">
      <c r="A173" s="145">
        <v>172</v>
      </c>
      <c r="B173" s="144" t="str">
        <f t="shared" si="8"/>
        <v>¬</v>
      </c>
      <c r="C173" s="143" t="str">
        <f t="shared" si="8"/>
        <v>¬</v>
      </c>
      <c r="D173" s="142" t="str">
        <f t="shared" si="8"/>
        <v>¬</v>
      </c>
      <c r="E173" s="141" t="str">
        <f t="shared" si="8"/>
        <v>¬</v>
      </c>
    </row>
    <row r="174" spans="1:5" x14ac:dyDescent="0.25">
      <c r="A174" s="145">
        <v>173</v>
      </c>
      <c r="B174" s="144" t="str">
        <f t="shared" si="8"/>
        <v>­</v>
      </c>
      <c r="C174" s="143" t="str">
        <f t="shared" si="8"/>
        <v>­</v>
      </c>
      <c r="D174" s="142" t="str">
        <f t="shared" si="8"/>
        <v>­</v>
      </c>
      <c r="E174" s="141" t="str">
        <f t="shared" si="8"/>
        <v>­</v>
      </c>
    </row>
    <row r="175" spans="1:5" x14ac:dyDescent="0.25">
      <c r="A175" s="145">
        <v>174</v>
      </c>
      <c r="B175" s="144" t="str">
        <f t="shared" si="8"/>
        <v>®</v>
      </c>
      <c r="C175" s="143" t="str">
        <f t="shared" si="8"/>
        <v>®</v>
      </c>
      <c r="D175" s="142" t="str">
        <f t="shared" si="8"/>
        <v>®</v>
      </c>
      <c r="E175" s="141" t="str">
        <f t="shared" si="8"/>
        <v>®</v>
      </c>
    </row>
    <row r="176" spans="1:5" x14ac:dyDescent="0.25">
      <c r="A176" s="145">
        <v>175</v>
      </c>
      <c r="B176" s="144" t="str">
        <f t="shared" si="8"/>
        <v>¯</v>
      </c>
      <c r="C176" s="143" t="str">
        <f t="shared" si="8"/>
        <v>¯</v>
      </c>
      <c r="D176" s="142" t="str">
        <f t="shared" si="8"/>
        <v>¯</v>
      </c>
      <c r="E176" s="141" t="str">
        <f t="shared" si="8"/>
        <v>¯</v>
      </c>
    </row>
    <row r="177" spans="1:5" x14ac:dyDescent="0.25">
      <c r="A177" s="145">
        <v>176</v>
      </c>
      <c r="B177" s="144" t="str">
        <f t="shared" si="8"/>
        <v>°</v>
      </c>
      <c r="C177" s="143" t="str">
        <f t="shared" si="8"/>
        <v>°</v>
      </c>
      <c r="D177" s="142" t="str">
        <f t="shared" si="8"/>
        <v>°</v>
      </c>
      <c r="E177" s="141" t="str">
        <f t="shared" si="8"/>
        <v>°</v>
      </c>
    </row>
    <row r="178" spans="1:5" x14ac:dyDescent="0.25">
      <c r="A178" s="145">
        <v>177</v>
      </c>
      <c r="B178" s="144" t="str">
        <f t="shared" si="8"/>
        <v>±</v>
      </c>
      <c r="C178" s="143" t="str">
        <f t="shared" si="8"/>
        <v>±</v>
      </c>
      <c r="D178" s="142" t="str">
        <f t="shared" si="8"/>
        <v>±</v>
      </c>
      <c r="E178" s="141" t="str">
        <f t="shared" si="8"/>
        <v>±</v>
      </c>
    </row>
    <row r="179" spans="1:5" x14ac:dyDescent="0.25">
      <c r="A179" s="145">
        <v>178</v>
      </c>
      <c r="B179" s="144" t="str">
        <f t="shared" si="8"/>
        <v>²</v>
      </c>
      <c r="C179" s="143" t="str">
        <f t="shared" si="8"/>
        <v>²</v>
      </c>
      <c r="D179" s="142" t="str">
        <f t="shared" si="8"/>
        <v>²</v>
      </c>
      <c r="E179" s="141" t="str">
        <f t="shared" si="8"/>
        <v>²</v>
      </c>
    </row>
    <row r="180" spans="1:5" x14ac:dyDescent="0.25">
      <c r="A180" s="145">
        <v>179</v>
      </c>
      <c r="B180" s="144" t="str">
        <f t="shared" si="8"/>
        <v>³</v>
      </c>
      <c r="C180" s="143" t="str">
        <f t="shared" si="8"/>
        <v>³</v>
      </c>
      <c r="D180" s="142" t="str">
        <f t="shared" si="8"/>
        <v>³</v>
      </c>
      <c r="E180" s="141" t="str">
        <f t="shared" si="8"/>
        <v>³</v>
      </c>
    </row>
    <row r="181" spans="1:5" x14ac:dyDescent="0.25">
      <c r="A181" s="145">
        <v>180</v>
      </c>
      <c r="B181" s="144" t="str">
        <f t="shared" si="8"/>
        <v>´</v>
      </c>
      <c r="C181" s="143" t="str">
        <f t="shared" si="8"/>
        <v>´</v>
      </c>
      <c r="D181" s="142" t="str">
        <f t="shared" si="8"/>
        <v>´</v>
      </c>
      <c r="E181" s="141" t="str">
        <f t="shared" si="8"/>
        <v>´</v>
      </c>
    </row>
    <row r="182" spans="1:5" x14ac:dyDescent="0.25">
      <c r="A182" s="145">
        <v>181</v>
      </c>
      <c r="B182" s="144" t="str">
        <f t="shared" ref="B182:E201" si="9">CHAR(ROW()-1)</f>
        <v>µ</v>
      </c>
      <c r="C182" s="143" t="str">
        <f t="shared" si="9"/>
        <v>µ</v>
      </c>
      <c r="D182" s="142" t="str">
        <f t="shared" si="9"/>
        <v>µ</v>
      </c>
      <c r="E182" s="141" t="str">
        <f t="shared" si="9"/>
        <v>µ</v>
      </c>
    </row>
    <row r="183" spans="1:5" x14ac:dyDescent="0.25">
      <c r="A183" s="145">
        <v>182</v>
      </c>
      <c r="B183" s="144" t="str">
        <f t="shared" si="9"/>
        <v>¶</v>
      </c>
      <c r="C183" s="143" t="str">
        <f t="shared" si="9"/>
        <v>¶</v>
      </c>
      <c r="D183" s="142" t="str">
        <f t="shared" si="9"/>
        <v>¶</v>
      </c>
      <c r="E183" s="141" t="str">
        <f t="shared" si="9"/>
        <v>¶</v>
      </c>
    </row>
    <row r="184" spans="1:5" x14ac:dyDescent="0.25">
      <c r="A184" s="145">
        <v>183</v>
      </c>
      <c r="B184" s="144" t="str">
        <f t="shared" si="9"/>
        <v>·</v>
      </c>
      <c r="C184" s="143" t="str">
        <f t="shared" si="9"/>
        <v>·</v>
      </c>
      <c r="D184" s="142" t="str">
        <f t="shared" si="9"/>
        <v>·</v>
      </c>
      <c r="E184" s="141" t="str">
        <f t="shared" si="9"/>
        <v>·</v>
      </c>
    </row>
    <row r="185" spans="1:5" x14ac:dyDescent="0.25">
      <c r="A185" s="145">
        <v>184</v>
      </c>
      <c r="B185" s="144" t="str">
        <f t="shared" si="9"/>
        <v>¸</v>
      </c>
      <c r="C185" s="143" t="str">
        <f t="shared" si="9"/>
        <v>¸</v>
      </c>
      <c r="D185" s="142" t="str">
        <f t="shared" si="9"/>
        <v>¸</v>
      </c>
      <c r="E185" s="141" t="str">
        <f t="shared" si="9"/>
        <v>¸</v>
      </c>
    </row>
    <row r="186" spans="1:5" x14ac:dyDescent="0.25">
      <c r="A186" s="145">
        <v>185</v>
      </c>
      <c r="B186" s="144" t="str">
        <f t="shared" si="9"/>
        <v>¹</v>
      </c>
      <c r="C186" s="143" t="str">
        <f t="shared" si="9"/>
        <v>¹</v>
      </c>
      <c r="D186" s="142" t="str">
        <f t="shared" si="9"/>
        <v>¹</v>
      </c>
      <c r="E186" s="141" t="str">
        <f t="shared" si="9"/>
        <v>¹</v>
      </c>
    </row>
    <row r="187" spans="1:5" x14ac:dyDescent="0.25">
      <c r="A187" s="145">
        <v>186</v>
      </c>
      <c r="B187" s="144" t="str">
        <f t="shared" si="9"/>
        <v>º</v>
      </c>
      <c r="C187" s="143" t="str">
        <f t="shared" si="9"/>
        <v>º</v>
      </c>
      <c r="D187" s="142" t="str">
        <f t="shared" si="9"/>
        <v>º</v>
      </c>
      <c r="E187" s="141" t="str">
        <f t="shared" si="9"/>
        <v>º</v>
      </c>
    </row>
    <row r="188" spans="1:5" x14ac:dyDescent="0.25">
      <c r="A188" s="145">
        <v>187</v>
      </c>
      <c r="B188" s="144" t="str">
        <f t="shared" si="9"/>
        <v>»</v>
      </c>
      <c r="C188" s="143" t="str">
        <f t="shared" si="9"/>
        <v>»</v>
      </c>
      <c r="D188" s="142" t="str">
        <f t="shared" si="9"/>
        <v>»</v>
      </c>
      <c r="E188" s="141" t="str">
        <f t="shared" si="9"/>
        <v>»</v>
      </c>
    </row>
    <row r="189" spans="1:5" x14ac:dyDescent="0.25">
      <c r="A189" s="145">
        <v>188</v>
      </c>
      <c r="B189" s="144" t="str">
        <f t="shared" si="9"/>
        <v>¼</v>
      </c>
      <c r="C189" s="143" t="str">
        <f t="shared" si="9"/>
        <v>¼</v>
      </c>
      <c r="D189" s="142" t="str">
        <f t="shared" si="9"/>
        <v>¼</v>
      </c>
      <c r="E189" s="141" t="str">
        <f t="shared" si="9"/>
        <v>¼</v>
      </c>
    </row>
    <row r="190" spans="1:5" x14ac:dyDescent="0.25">
      <c r="A190" s="145">
        <v>189</v>
      </c>
      <c r="B190" s="144" t="str">
        <f t="shared" si="9"/>
        <v>½</v>
      </c>
      <c r="C190" s="143" t="str">
        <f t="shared" si="9"/>
        <v>½</v>
      </c>
      <c r="D190" s="142" t="str">
        <f t="shared" si="9"/>
        <v>½</v>
      </c>
      <c r="E190" s="141" t="str">
        <f t="shared" si="9"/>
        <v>½</v>
      </c>
    </row>
    <row r="191" spans="1:5" x14ac:dyDescent="0.25">
      <c r="A191" s="145">
        <v>190</v>
      </c>
      <c r="B191" s="144" t="str">
        <f t="shared" si="9"/>
        <v>¾</v>
      </c>
      <c r="C191" s="143" t="str">
        <f t="shared" si="9"/>
        <v>¾</v>
      </c>
      <c r="D191" s="142" t="str">
        <f t="shared" si="9"/>
        <v>¾</v>
      </c>
      <c r="E191" s="141" t="str">
        <f t="shared" si="9"/>
        <v>¾</v>
      </c>
    </row>
    <row r="192" spans="1:5" x14ac:dyDescent="0.25">
      <c r="A192" s="145">
        <v>191</v>
      </c>
      <c r="B192" s="144" t="str">
        <f t="shared" si="9"/>
        <v>¿</v>
      </c>
      <c r="C192" s="143" t="str">
        <f t="shared" si="9"/>
        <v>¿</v>
      </c>
      <c r="D192" s="142" t="str">
        <f t="shared" si="9"/>
        <v>¿</v>
      </c>
      <c r="E192" s="141" t="str">
        <f t="shared" si="9"/>
        <v>¿</v>
      </c>
    </row>
    <row r="193" spans="1:5" x14ac:dyDescent="0.25">
      <c r="A193" s="145">
        <v>192</v>
      </c>
      <c r="B193" s="144" t="str">
        <f t="shared" si="9"/>
        <v>À</v>
      </c>
      <c r="C193" s="143" t="str">
        <f t="shared" si="9"/>
        <v>À</v>
      </c>
      <c r="D193" s="142" t="str">
        <f t="shared" si="9"/>
        <v>À</v>
      </c>
      <c r="E193" s="141" t="str">
        <f t="shared" si="9"/>
        <v>À</v>
      </c>
    </row>
    <row r="194" spans="1:5" x14ac:dyDescent="0.25">
      <c r="A194" s="145">
        <v>193</v>
      </c>
      <c r="B194" s="144" t="str">
        <f t="shared" si="9"/>
        <v>Á</v>
      </c>
      <c r="C194" s="143" t="str">
        <f t="shared" si="9"/>
        <v>Á</v>
      </c>
      <c r="D194" s="142" t="str">
        <f t="shared" si="9"/>
        <v>Á</v>
      </c>
      <c r="E194" s="141" t="str">
        <f t="shared" si="9"/>
        <v>Á</v>
      </c>
    </row>
    <row r="195" spans="1:5" x14ac:dyDescent="0.25">
      <c r="A195" s="145">
        <v>194</v>
      </c>
      <c r="B195" s="144" t="str">
        <f t="shared" si="9"/>
        <v>Â</v>
      </c>
      <c r="C195" s="143" t="str">
        <f t="shared" si="9"/>
        <v>Â</v>
      </c>
      <c r="D195" s="142" t="str">
        <f t="shared" si="9"/>
        <v>Â</v>
      </c>
      <c r="E195" s="141" t="str">
        <f t="shared" si="9"/>
        <v>Â</v>
      </c>
    </row>
    <row r="196" spans="1:5" x14ac:dyDescent="0.25">
      <c r="A196" s="145">
        <v>195</v>
      </c>
      <c r="B196" s="144" t="str">
        <f t="shared" si="9"/>
        <v>Ã</v>
      </c>
      <c r="C196" s="143" t="str">
        <f t="shared" si="9"/>
        <v>Ã</v>
      </c>
      <c r="D196" s="142" t="str">
        <f t="shared" si="9"/>
        <v>Ã</v>
      </c>
      <c r="E196" s="141" t="str">
        <f t="shared" si="9"/>
        <v>Ã</v>
      </c>
    </row>
    <row r="197" spans="1:5" x14ac:dyDescent="0.25">
      <c r="A197" s="145">
        <v>196</v>
      </c>
      <c r="B197" s="144" t="str">
        <f t="shared" si="9"/>
        <v>Ä</v>
      </c>
      <c r="C197" s="143" t="str">
        <f t="shared" si="9"/>
        <v>Ä</v>
      </c>
      <c r="D197" s="142" t="str">
        <f t="shared" si="9"/>
        <v>Ä</v>
      </c>
      <c r="E197" s="141" t="str">
        <f t="shared" si="9"/>
        <v>Ä</v>
      </c>
    </row>
    <row r="198" spans="1:5" x14ac:dyDescent="0.25">
      <c r="A198" s="145">
        <v>197</v>
      </c>
      <c r="B198" s="144" t="str">
        <f t="shared" si="9"/>
        <v>Å</v>
      </c>
      <c r="C198" s="143" t="str">
        <f t="shared" si="9"/>
        <v>Å</v>
      </c>
      <c r="D198" s="142" t="str">
        <f t="shared" si="9"/>
        <v>Å</v>
      </c>
      <c r="E198" s="141" t="str">
        <f t="shared" si="9"/>
        <v>Å</v>
      </c>
    </row>
    <row r="199" spans="1:5" x14ac:dyDescent="0.25">
      <c r="A199" s="145">
        <v>198</v>
      </c>
      <c r="B199" s="144" t="str">
        <f t="shared" si="9"/>
        <v>Æ</v>
      </c>
      <c r="C199" s="143" t="str">
        <f t="shared" si="9"/>
        <v>Æ</v>
      </c>
      <c r="D199" s="142" t="str">
        <f t="shared" si="9"/>
        <v>Æ</v>
      </c>
      <c r="E199" s="141" t="str">
        <f t="shared" si="9"/>
        <v>Æ</v>
      </c>
    </row>
    <row r="200" spans="1:5" x14ac:dyDescent="0.25">
      <c r="A200" s="145">
        <v>199</v>
      </c>
      <c r="B200" s="144" t="str">
        <f t="shared" si="9"/>
        <v>Ç</v>
      </c>
      <c r="C200" s="143" t="str">
        <f t="shared" si="9"/>
        <v>Ç</v>
      </c>
      <c r="D200" s="142" t="str">
        <f t="shared" si="9"/>
        <v>Ç</v>
      </c>
      <c r="E200" s="141" t="str">
        <f t="shared" si="9"/>
        <v>Ç</v>
      </c>
    </row>
    <row r="201" spans="1:5" x14ac:dyDescent="0.25">
      <c r="A201" s="145">
        <v>200</v>
      </c>
      <c r="B201" s="144" t="str">
        <f t="shared" si="9"/>
        <v>È</v>
      </c>
      <c r="C201" s="143" t="str">
        <f t="shared" si="9"/>
        <v>È</v>
      </c>
      <c r="D201" s="142" t="str">
        <f t="shared" si="9"/>
        <v>È</v>
      </c>
      <c r="E201" s="141" t="str">
        <f t="shared" si="9"/>
        <v>È</v>
      </c>
    </row>
    <row r="202" spans="1:5" x14ac:dyDescent="0.25">
      <c r="A202" s="145">
        <v>201</v>
      </c>
      <c r="B202" s="144" t="str">
        <f t="shared" ref="B202:E221" si="10">CHAR(ROW()-1)</f>
        <v>É</v>
      </c>
      <c r="C202" s="143" t="str">
        <f t="shared" si="10"/>
        <v>É</v>
      </c>
      <c r="D202" s="142" t="str">
        <f t="shared" si="10"/>
        <v>É</v>
      </c>
      <c r="E202" s="141" t="str">
        <f t="shared" si="10"/>
        <v>É</v>
      </c>
    </row>
    <row r="203" spans="1:5" x14ac:dyDescent="0.25">
      <c r="A203" s="145">
        <v>202</v>
      </c>
      <c r="B203" s="144" t="str">
        <f t="shared" si="10"/>
        <v>Ê</v>
      </c>
      <c r="C203" s="143" t="str">
        <f t="shared" si="10"/>
        <v>Ê</v>
      </c>
      <c r="D203" s="142" t="str">
        <f t="shared" si="10"/>
        <v>Ê</v>
      </c>
      <c r="E203" s="141" t="str">
        <f t="shared" si="10"/>
        <v>Ê</v>
      </c>
    </row>
    <row r="204" spans="1:5" x14ac:dyDescent="0.25">
      <c r="A204" s="145">
        <v>203</v>
      </c>
      <c r="B204" s="144" t="str">
        <f t="shared" si="10"/>
        <v>Ë</v>
      </c>
      <c r="C204" s="143" t="str">
        <f t="shared" si="10"/>
        <v>Ë</v>
      </c>
      <c r="D204" s="142" t="str">
        <f t="shared" si="10"/>
        <v>Ë</v>
      </c>
      <c r="E204" s="141" t="str">
        <f t="shared" si="10"/>
        <v>Ë</v>
      </c>
    </row>
    <row r="205" spans="1:5" x14ac:dyDescent="0.25">
      <c r="A205" s="145">
        <v>204</v>
      </c>
      <c r="B205" s="144" t="str">
        <f t="shared" si="10"/>
        <v>Ì</v>
      </c>
      <c r="C205" s="143" t="str">
        <f t="shared" si="10"/>
        <v>Ì</v>
      </c>
      <c r="D205" s="142" t="str">
        <f t="shared" si="10"/>
        <v>Ì</v>
      </c>
      <c r="E205" s="141" t="str">
        <f t="shared" si="10"/>
        <v>Ì</v>
      </c>
    </row>
    <row r="206" spans="1:5" x14ac:dyDescent="0.25">
      <c r="A206" s="145">
        <v>205</v>
      </c>
      <c r="B206" s="144" t="str">
        <f t="shared" si="10"/>
        <v>Í</v>
      </c>
      <c r="C206" s="143" t="str">
        <f t="shared" si="10"/>
        <v>Í</v>
      </c>
      <c r="D206" s="142" t="str">
        <f t="shared" si="10"/>
        <v>Í</v>
      </c>
      <c r="E206" s="141" t="str">
        <f t="shared" si="10"/>
        <v>Í</v>
      </c>
    </row>
    <row r="207" spans="1:5" x14ac:dyDescent="0.25">
      <c r="A207" s="145">
        <v>206</v>
      </c>
      <c r="B207" s="144" t="str">
        <f t="shared" si="10"/>
        <v>Î</v>
      </c>
      <c r="C207" s="143" t="str">
        <f t="shared" si="10"/>
        <v>Î</v>
      </c>
      <c r="D207" s="142" t="str">
        <f t="shared" si="10"/>
        <v>Î</v>
      </c>
      <c r="E207" s="141" t="str">
        <f t="shared" si="10"/>
        <v>Î</v>
      </c>
    </row>
    <row r="208" spans="1:5" x14ac:dyDescent="0.25">
      <c r="A208" s="145">
        <v>207</v>
      </c>
      <c r="B208" s="144" t="str">
        <f t="shared" si="10"/>
        <v>Ï</v>
      </c>
      <c r="C208" s="143" t="str">
        <f t="shared" si="10"/>
        <v>Ï</v>
      </c>
      <c r="D208" s="142" t="str">
        <f t="shared" si="10"/>
        <v>Ï</v>
      </c>
      <c r="E208" s="141" t="str">
        <f t="shared" si="10"/>
        <v>Ï</v>
      </c>
    </row>
    <row r="209" spans="1:5" x14ac:dyDescent="0.25">
      <c r="A209" s="145">
        <v>208</v>
      </c>
      <c r="B209" s="144" t="str">
        <f t="shared" si="10"/>
        <v>Ð</v>
      </c>
      <c r="C209" s="143" t="str">
        <f t="shared" si="10"/>
        <v>Ð</v>
      </c>
      <c r="D209" s="142" t="str">
        <f t="shared" si="10"/>
        <v>Ð</v>
      </c>
      <c r="E209" s="141" t="str">
        <f t="shared" si="10"/>
        <v>Ð</v>
      </c>
    </row>
    <row r="210" spans="1:5" x14ac:dyDescent="0.25">
      <c r="A210" s="145">
        <v>209</v>
      </c>
      <c r="B210" s="144" t="str">
        <f t="shared" si="10"/>
        <v>Ñ</v>
      </c>
      <c r="C210" s="143" t="str">
        <f t="shared" si="10"/>
        <v>Ñ</v>
      </c>
      <c r="D210" s="142" t="str">
        <f t="shared" si="10"/>
        <v>Ñ</v>
      </c>
      <c r="E210" s="141" t="str">
        <f t="shared" si="10"/>
        <v>Ñ</v>
      </c>
    </row>
    <row r="211" spans="1:5" x14ac:dyDescent="0.25">
      <c r="A211" s="145">
        <v>210</v>
      </c>
      <c r="B211" s="144" t="str">
        <f t="shared" si="10"/>
        <v>Ò</v>
      </c>
      <c r="C211" s="143" t="str">
        <f t="shared" si="10"/>
        <v>Ò</v>
      </c>
      <c r="D211" s="142" t="str">
        <f t="shared" si="10"/>
        <v>Ò</v>
      </c>
      <c r="E211" s="141" t="str">
        <f t="shared" si="10"/>
        <v>Ò</v>
      </c>
    </row>
    <row r="212" spans="1:5" x14ac:dyDescent="0.25">
      <c r="A212" s="145">
        <v>211</v>
      </c>
      <c r="B212" s="144" t="str">
        <f t="shared" si="10"/>
        <v>Ó</v>
      </c>
      <c r="C212" s="143" t="str">
        <f t="shared" si="10"/>
        <v>Ó</v>
      </c>
      <c r="D212" s="142" t="str">
        <f t="shared" si="10"/>
        <v>Ó</v>
      </c>
      <c r="E212" s="141" t="str">
        <f t="shared" si="10"/>
        <v>Ó</v>
      </c>
    </row>
    <row r="213" spans="1:5" x14ac:dyDescent="0.25">
      <c r="A213" s="145">
        <v>212</v>
      </c>
      <c r="B213" s="144" t="str">
        <f t="shared" si="10"/>
        <v>Ô</v>
      </c>
      <c r="C213" s="143" t="str">
        <f t="shared" si="10"/>
        <v>Ô</v>
      </c>
      <c r="D213" s="142" t="str">
        <f t="shared" si="10"/>
        <v>Ô</v>
      </c>
      <c r="E213" s="141" t="str">
        <f t="shared" si="10"/>
        <v>Ô</v>
      </c>
    </row>
    <row r="214" spans="1:5" x14ac:dyDescent="0.25">
      <c r="A214" s="145">
        <v>213</v>
      </c>
      <c r="B214" s="144" t="str">
        <f t="shared" si="10"/>
        <v>Õ</v>
      </c>
      <c r="C214" s="143" t="str">
        <f t="shared" si="10"/>
        <v>Õ</v>
      </c>
      <c r="D214" s="142" t="str">
        <f t="shared" si="10"/>
        <v>Õ</v>
      </c>
      <c r="E214" s="141" t="str">
        <f t="shared" si="10"/>
        <v>Õ</v>
      </c>
    </row>
    <row r="215" spans="1:5" x14ac:dyDescent="0.25">
      <c r="A215" s="145">
        <v>214</v>
      </c>
      <c r="B215" s="144" t="str">
        <f t="shared" si="10"/>
        <v>Ö</v>
      </c>
      <c r="C215" s="143" t="str">
        <f t="shared" si="10"/>
        <v>Ö</v>
      </c>
      <c r="D215" s="142" t="str">
        <f t="shared" si="10"/>
        <v>Ö</v>
      </c>
      <c r="E215" s="141" t="str">
        <f t="shared" si="10"/>
        <v>Ö</v>
      </c>
    </row>
    <row r="216" spans="1:5" x14ac:dyDescent="0.25">
      <c r="A216" s="145">
        <v>215</v>
      </c>
      <c r="B216" s="144" t="str">
        <f t="shared" si="10"/>
        <v>×</v>
      </c>
      <c r="C216" s="143" t="str">
        <f t="shared" si="10"/>
        <v>×</v>
      </c>
      <c r="D216" s="142" t="str">
        <f t="shared" si="10"/>
        <v>×</v>
      </c>
      <c r="E216" s="141" t="str">
        <f t="shared" si="10"/>
        <v>×</v>
      </c>
    </row>
    <row r="217" spans="1:5" x14ac:dyDescent="0.25">
      <c r="A217" s="145">
        <v>216</v>
      </c>
      <c r="B217" s="144" t="str">
        <f t="shared" si="10"/>
        <v>Ø</v>
      </c>
      <c r="C217" s="143" t="str">
        <f t="shared" si="10"/>
        <v>Ø</v>
      </c>
      <c r="D217" s="142" t="str">
        <f t="shared" si="10"/>
        <v>Ø</v>
      </c>
      <c r="E217" s="141" t="str">
        <f t="shared" si="10"/>
        <v>Ø</v>
      </c>
    </row>
    <row r="218" spans="1:5" x14ac:dyDescent="0.25">
      <c r="A218" s="145">
        <v>217</v>
      </c>
      <c r="B218" s="144" t="str">
        <f t="shared" si="10"/>
        <v>Ù</v>
      </c>
      <c r="C218" s="143" t="str">
        <f t="shared" si="10"/>
        <v>Ù</v>
      </c>
      <c r="D218" s="142" t="str">
        <f t="shared" si="10"/>
        <v>Ù</v>
      </c>
      <c r="E218" s="141" t="str">
        <f t="shared" si="10"/>
        <v>Ù</v>
      </c>
    </row>
    <row r="219" spans="1:5" x14ac:dyDescent="0.25">
      <c r="A219" s="145">
        <v>218</v>
      </c>
      <c r="B219" s="144" t="str">
        <f t="shared" si="10"/>
        <v>Ú</v>
      </c>
      <c r="C219" s="143" t="str">
        <f t="shared" si="10"/>
        <v>Ú</v>
      </c>
      <c r="D219" s="142" t="str">
        <f t="shared" si="10"/>
        <v>Ú</v>
      </c>
      <c r="E219" s="141" t="str">
        <f t="shared" si="10"/>
        <v>Ú</v>
      </c>
    </row>
    <row r="220" spans="1:5" x14ac:dyDescent="0.25">
      <c r="A220" s="145">
        <v>219</v>
      </c>
      <c r="B220" s="144" t="str">
        <f t="shared" si="10"/>
        <v>Û</v>
      </c>
      <c r="C220" s="143" t="str">
        <f t="shared" si="10"/>
        <v>Û</v>
      </c>
      <c r="D220" s="142" t="str">
        <f t="shared" si="10"/>
        <v>Û</v>
      </c>
      <c r="E220" s="141" t="str">
        <f t="shared" si="10"/>
        <v>Û</v>
      </c>
    </row>
    <row r="221" spans="1:5" x14ac:dyDescent="0.25">
      <c r="A221" s="145">
        <v>220</v>
      </c>
      <c r="B221" s="144" t="str">
        <f t="shared" si="10"/>
        <v>Ü</v>
      </c>
      <c r="C221" s="143" t="str">
        <f t="shared" si="10"/>
        <v>Ü</v>
      </c>
      <c r="D221" s="142" t="str">
        <f t="shared" si="10"/>
        <v>Ü</v>
      </c>
      <c r="E221" s="141" t="str">
        <f t="shared" si="10"/>
        <v>Ü</v>
      </c>
    </row>
    <row r="222" spans="1:5" x14ac:dyDescent="0.25">
      <c r="A222" s="145">
        <v>221</v>
      </c>
      <c r="B222" s="144" t="str">
        <f t="shared" ref="B222:E241" si="11">CHAR(ROW()-1)</f>
        <v>Ý</v>
      </c>
      <c r="C222" s="143" t="str">
        <f t="shared" si="11"/>
        <v>Ý</v>
      </c>
      <c r="D222" s="142" t="str">
        <f t="shared" si="11"/>
        <v>Ý</v>
      </c>
      <c r="E222" s="141" t="str">
        <f t="shared" si="11"/>
        <v>Ý</v>
      </c>
    </row>
    <row r="223" spans="1:5" x14ac:dyDescent="0.25">
      <c r="A223" s="145">
        <v>222</v>
      </c>
      <c r="B223" s="144" t="str">
        <f t="shared" si="11"/>
        <v>Þ</v>
      </c>
      <c r="C223" s="143" t="str">
        <f t="shared" si="11"/>
        <v>Þ</v>
      </c>
      <c r="D223" s="142" t="str">
        <f t="shared" si="11"/>
        <v>Þ</v>
      </c>
      <c r="E223" s="141" t="str">
        <f t="shared" si="11"/>
        <v>Þ</v>
      </c>
    </row>
    <row r="224" spans="1:5" x14ac:dyDescent="0.25">
      <c r="A224" s="145">
        <v>223</v>
      </c>
      <c r="B224" s="144" t="str">
        <f t="shared" si="11"/>
        <v>ß</v>
      </c>
      <c r="C224" s="143" t="str">
        <f t="shared" si="11"/>
        <v>ß</v>
      </c>
      <c r="D224" s="142" t="str">
        <f t="shared" si="11"/>
        <v>ß</v>
      </c>
      <c r="E224" s="141" t="str">
        <f t="shared" si="11"/>
        <v>ß</v>
      </c>
    </row>
    <row r="225" spans="1:5" x14ac:dyDescent="0.25">
      <c r="A225" s="145">
        <v>224</v>
      </c>
      <c r="B225" s="144" t="str">
        <f t="shared" si="11"/>
        <v>à</v>
      </c>
      <c r="C225" s="143" t="str">
        <f t="shared" si="11"/>
        <v>à</v>
      </c>
      <c r="D225" s="142" t="str">
        <f t="shared" si="11"/>
        <v>à</v>
      </c>
      <c r="E225" s="141" t="str">
        <f t="shared" si="11"/>
        <v>à</v>
      </c>
    </row>
    <row r="226" spans="1:5" x14ac:dyDescent="0.25">
      <c r="A226" s="145">
        <v>225</v>
      </c>
      <c r="B226" s="144" t="str">
        <f t="shared" si="11"/>
        <v>á</v>
      </c>
      <c r="C226" s="143" t="str">
        <f t="shared" si="11"/>
        <v>á</v>
      </c>
      <c r="D226" s="142" t="str">
        <f t="shared" si="11"/>
        <v>á</v>
      </c>
      <c r="E226" s="141" t="str">
        <f t="shared" si="11"/>
        <v>á</v>
      </c>
    </row>
    <row r="227" spans="1:5" x14ac:dyDescent="0.25">
      <c r="A227" s="145">
        <v>226</v>
      </c>
      <c r="B227" s="144" t="str">
        <f t="shared" si="11"/>
        <v>â</v>
      </c>
      <c r="C227" s="143" t="str">
        <f t="shared" si="11"/>
        <v>â</v>
      </c>
      <c r="D227" s="142" t="str">
        <f t="shared" si="11"/>
        <v>â</v>
      </c>
      <c r="E227" s="141" t="str">
        <f t="shared" si="11"/>
        <v>â</v>
      </c>
    </row>
    <row r="228" spans="1:5" x14ac:dyDescent="0.25">
      <c r="A228" s="145">
        <v>227</v>
      </c>
      <c r="B228" s="144" t="str">
        <f t="shared" si="11"/>
        <v>ã</v>
      </c>
      <c r="C228" s="143" t="str">
        <f t="shared" si="11"/>
        <v>ã</v>
      </c>
      <c r="D228" s="142" t="str">
        <f t="shared" si="11"/>
        <v>ã</v>
      </c>
      <c r="E228" s="141" t="str">
        <f t="shared" si="11"/>
        <v>ã</v>
      </c>
    </row>
    <row r="229" spans="1:5" x14ac:dyDescent="0.25">
      <c r="A229" s="145">
        <v>228</v>
      </c>
      <c r="B229" s="144" t="str">
        <f t="shared" si="11"/>
        <v>ä</v>
      </c>
      <c r="C229" s="143" t="str">
        <f t="shared" si="11"/>
        <v>ä</v>
      </c>
      <c r="D229" s="142" t="str">
        <f t="shared" si="11"/>
        <v>ä</v>
      </c>
      <c r="E229" s="141" t="str">
        <f t="shared" si="11"/>
        <v>ä</v>
      </c>
    </row>
    <row r="230" spans="1:5" x14ac:dyDescent="0.25">
      <c r="A230" s="145">
        <v>229</v>
      </c>
      <c r="B230" s="144" t="str">
        <f t="shared" si="11"/>
        <v>å</v>
      </c>
      <c r="C230" s="143" t="str">
        <f t="shared" si="11"/>
        <v>å</v>
      </c>
      <c r="D230" s="142" t="str">
        <f t="shared" si="11"/>
        <v>å</v>
      </c>
      <c r="E230" s="141" t="str">
        <f t="shared" si="11"/>
        <v>å</v>
      </c>
    </row>
    <row r="231" spans="1:5" x14ac:dyDescent="0.25">
      <c r="A231" s="145">
        <v>230</v>
      </c>
      <c r="B231" s="144" t="str">
        <f t="shared" si="11"/>
        <v>æ</v>
      </c>
      <c r="C231" s="143" t="str">
        <f t="shared" si="11"/>
        <v>æ</v>
      </c>
      <c r="D231" s="142" t="str">
        <f t="shared" si="11"/>
        <v>æ</v>
      </c>
      <c r="E231" s="141" t="str">
        <f t="shared" si="11"/>
        <v>æ</v>
      </c>
    </row>
    <row r="232" spans="1:5" x14ac:dyDescent="0.25">
      <c r="A232" s="145">
        <v>231</v>
      </c>
      <c r="B232" s="144" t="str">
        <f t="shared" si="11"/>
        <v>ç</v>
      </c>
      <c r="C232" s="143" t="str">
        <f t="shared" si="11"/>
        <v>ç</v>
      </c>
      <c r="D232" s="142" t="str">
        <f t="shared" si="11"/>
        <v>ç</v>
      </c>
      <c r="E232" s="141" t="str">
        <f t="shared" si="11"/>
        <v>ç</v>
      </c>
    </row>
    <row r="233" spans="1:5" x14ac:dyDescent="0.25">
      <c r="A233" s="145">
        <v>232</v>
      </c>
      <c r="B233" s="144" t="str">
        <f t="shared" si="11"/>
        <v>è</v>
      </c>
      <c r="C233" s="143" t="str">
        <f t="shared" si="11"/>
        <v>è</v>
      </c>
      <c r="D233" s="142" t="str">
        <f t="shared" si="11"/>
        <v>è</v>
      </c>
      <c r="E233" s="141" t="str">
        <f t="shared" si="11"/>
        <v>è</v>
      </c>
    </row>
    <row r="234" spans="1:5" x14ac:dyDescent="0.25">
      <c r="A234" s="145">
        <v>233</v>
      </c>
      <c r="B234" s="144" t="str">
        <f t="shared" si="11"/>
        <v>é</v>
      </c>
      <c r="C234" s="143" t="str">
        <f t="shared" si="11"/>
        <v>é</v>
      </c>
      <c r="D234" s="142" t="str">
        <f t="shared" si="11"/>
        <v>é</v>
      </c>
      <c r="E234" s="141" t="str">
        <f t="shared" si="11"/>
        <v>é</v>
      </c>
    </row>
    <row r="235" spans="1:5" x14ac:dyDescent="0.25">
      <c r="A235" s="145">
        <v>234</v>
      </c>
      <c r="B235" s="144" t="str">
        <f t="shared" si="11"/>
        <v>ê</v>
      </c>
      <c r="C235" s="143" t="str">
        <f t="shared" si="11"/>
        <v>ê</v>
      </c>
      <c r="D235" s="142" t="str">
        <f t="shared" si="11"/>
        <v>ê</v>
      </c>
      <c r="E235" s="141" t="str">
        <f t="shared" si="11"/>
        <v>ê</v>
      </c>
    </row>
    <row r="236" spans="1:5" x14ac:dyDescent="0.25">
      <c r="A236" s="145">
        <v>235</v>
      </c>
      <c r="B236" s="144" t="str">
        <f t="shared" si="11"/>
        <v>ë</v>
      </c>
      <c r="C236" s="143" t="str">
        <f t="shared" si="11"/>
        <v>ë</v>
      </c>
      <c r="D236" s="142" t="str">
        <f t="shared" si="11"/>
        <v>ë</v>
      </c>
      <c r="E236" s="141" t="str">
        <f t="shared" si="11"/>
        <v>ë</v>
      </c>
    </row>
    <row r="237" spans="1:5" x14ac:dyDescent="0.25">
      <c r="A237" s="145">
        <v>236</v>
      </c>
      <c r="B237" s="144" t="str">
        <f t="shared" si="11"/>
        <v>ì</v>
      </c>
      <c r="C237" s="143" t="str">
        <f t="shared" si="11"/>
        <v>ì</v>
      </c>
      <c r="D237" s="142" t="str">
        <f t="shared" si="11"/>
        <v>ì</v>
      </c>
      <c r="E237" s="141" t="str">
        <f t="shared" si="11"/>
        <v>ì</v>
      </c>
    </row>
    <row r="238" spans="1:5" x14ac:dyDescent="0.25">
      <c r="A238" s="145">
        <v>237</v>
      </c>
      <c r="B238" s="144" t="str">
        <f t="shared" si="11"/>
        <v>í</v>
      </c>
      <c r="C238" s="143" t="str">
        <f t="shared" si="11"/>
        <v>í</v>
      </c>
      <c r="D238" s="142" t="str">
        <f t="shared" si="11"/>
        <v>í</v>
      </c>
      <c r="E238" s="141" t="str">
        <f t="shared" si="11"/>
        <v>í</v>
      </c>
    </row>
    <row r="239" spans="1:5" x14ac:dyDescent="0.25">
      <c r="A239" s="145">
        <v>238</v>
      </c>
      <c r="B239" s="144" t="str">
        <f t="shared" si="11"/>
        <v>î</v>
      </c>
      <c r="C239" s="143" t="str">
        <f t="shared" si="11"/>
        <v>î</v>
      </c>
      <c r="D239" s="142" t="str">
        <f t="shared" si="11"/>
        <v>î</v>
      </c>
      <c r="E239" s="141" t="str">
        <f t="shared" si="11"/>
        <v>î</v>
      </c>
    </row>
    <row r="240" spans="1:5" x14ac:dyDescent="0.25">
      <c r="A240" s="145">
        <v>239</v>
      </c>
      <c r="B240" s="144" t="str">
        <f t="shared" si="11"/>
        <v>ï</v>
      </c>
      <c r="C240" s="143" t="str">
        <f t="shared" si="11"/>
        <v>ï</v>
      </c>
      <c r="D240" s="142" t="str">
        <f t="shared" si="11"/>
        <v>ï</v>
      </c>
      <c r="E240" s="141" t="str">
        <f t="shared" si="11"/>
        <v>ï</v>
      </c>
    </row>
    <row r="241" spans="1:5" x14ac:dyDescent="0.25">
      <c r="A241" s="145">
        <v>240</v>
      </c>
      <c r="B241" s="144" t="str">
        <f t="shared" si="11"/>
        <v>ð</v>
      </c>
      <c r="C241" s="143" t="str">
        <f t="shared" si="11"/>
        <v>ð</v>
      </c>
      <c r="D241" s="142" t="str">
        <f t="shared" si="11"/>
        <v>ð</v>
      </c>
      <c r="E241" s="141" t="str">
        <f t="shared" si="11"/>
        <v>ð</v>
      </c>
    </row>
    <row r="242" spans="1:5" x14ac:dyDescent="0.25">
      <c r="A242" s="145">
        <v>241</v>
      </c>
      <c r="B242" s="144" t="str">
        <f t="shared" ref="B242:E256" si="12">CHAR(ROW()-1)</f>
        <v>ñ</v>
      </c>
      <c r="C242" s="143" t="str">
        <f t="shared" si="12"/>
        <v>ñ</v>
      </c>
      <c r="D242" s="142" t="str">
        <f t="shared" si="12"/>
        <v>ñ</v>
      </c>
      <c r="E242" s="141" t="str">
        <f t="shared" si="12"/>
        <v>ñ</v>
      </c>
    </row>
    <row r="243" spans="1:5" x14ac:dyDescent="0.25">
      <c r="A243" s="145">
        <v>242</v>
      </c>
      <c r="B243" s="144" t="str">
        <f t="shared" si="12"/>
        <v>ò</v>
      </c>
      <c r="C243" s="143" t="str">
        <f t="shared" si="12"/>
        <v>ò</v>
      </c>
      <c r="D243" s="142" t="str">
        <f t="shared" si="12"/>
        <v>ò</v>
      </c>
      <c r="E243" s="141" t="str">
        <f t="shared" si="12"/>
        <v>ò</v>
      </c>
    </row>
    <row r="244" spans="1:5" x14ac:dyDescent="0.25">
      <c r="A244" s="145">
        <v>243</v>
      </c>
      <c r="B244" s="144" t="str">
        <f t="shared" si="12"/>
        <v>ó</v>
      </c>
      <c r="C244" s="143" t="str">
        <f t="shared" si="12"/>
        <v>ó</v>
      </c>
      <c r="D244" s="142" t="str">
        <f t="shared" si="12"/>
        <v>ó</v>
      </c>
      <c r="E244" s="141" t="str">
        <f t="shared" si="12"/>
        <v>ó</v>
      </c>
    </row>
    <row r="245" spans="1:5" x14ac:dyDescent="0.25">
      <c r="A245" s="145">
        <v>244</v>
      </c>
      <c r="B245" s="144" t="str">
        <f t="shared" si="12"/>
        <v>ô</v>
      </c>
      <c r="C245" s="143" t="str">
        <f t="shared" si="12"/>
        <v>ô</v>
      </c>
      <c r="D245" s="142" t="str">
        <f t="shared" si="12"/>
        <v>ô</v>
      </c>
      <c r="E245" s="141" t="str">
        <f t="shared" si="12"/>
        <v>ô</v>
      </c>
    </row>
    <row r="246" spans="1:5" x14ac:dyDescent="0.25">
      <c r="A246" s="145">
        <v>245</v>
      </c>
      <c r="B246" s="144" t="str">
        <f t="shared" si="12"/>
        <v>õ</v>
      </c>
      <c r="C246" s="143" t="str">
        <f t="shared" si="12"/>
        <v>õ</v>
      </c>
      <c r="D246" s="142" t="str">
        <f t="shared" si="12"/>
        <v>õ</v>
      </c>
      <c r="E246" s="141" t="str">
        <f t="shared" si="12"/>
        <v>õ</v>
      </c>
    </row>
    <row r="247" spans="1:5" x14ac:dyDescent="0.25">
      <c r="A247" s="145">
        <v>246</v>
      </c>
      <c r="B247" s="144" t="str">
        <f t="shared" si="12"/>
        <v>ö</v>
      </c>
      <c r="C247" s="143" t="str">
        <f t="shared" si="12"/>
        <v>ö</v>
      </c>
      <c r="D247" s="142" t="str">
        <f t="shared" si="12"/>
        <v>ö</v>
      </c>
      <c r="E247" s="141" t="str">
        <f t="shared" si="12"/>
        <v>ö</v>
      </c>
    </row>
    <row r="248" spans="1:5" x14ac:dyDescent="0.25">
      <c r="A248" s="145">
        <v>247</v>
      </c>
      <c r="B248" s="144" t="str">
        <f t="shared" si="12"/>
        <v>÷</v>
      </c>
      <c r="C248" s="143" t="str">
        <f t="shared" si="12"/>
        <v>÷</v>
      </c>
      <c r="D248" s="142" t="str">
        <f t="shared" si="12"/>
        <v>÷</v>
      </c>
      <c r="E248" s="141" t="str">
        <f t="shared" si="12"/>
        <v>÷</v>
      </c>
    </row>
    <row r="249" spans="1:5" x14ac:dyDescent="0.25">
      <c r="A249" s="145">
        <v>248</v>
      </c>
      <c r="B249" s="144" t="str">
        <f t="shared" si="12"/>
        <v>ø</v>
      </c>
      <c r="C249" s="143" t="str">
        <f t="shared" si="12"/>
        <v>ø</v>
      </c>
      <c r="D249" s="142" t="str">
        <f t="shared" si="12"/>
        <v>ø</v>
      </c>
      <c r="E249" s="141" t="str">
        <f t="shared" si="12"/>
        <v>ø</v>
      </c>
    </row>
    <row r="250" spans="1:5" x14ac:dyDescent="0.25">
      <c r="A250" s="145">
        <v>249</v>
      </c>
      <c r="B250" s="144" t="str">
        <f t="shared" si="12"/>
        <v>ù</v>
      </c>
      <c r="C250" s="143" t="str">
        <f t="shared" si="12"/>
        <v>ù</v>
      </c>
      <c r="D250" s="142" t="str">
        <f t="shared" si="12"/>
        <v>ù</v>
      </c>
      <c r="E250" s="141" t="str">
        <f t="shared" si="12"/>
        <v>ù</v>
      </c>
    </row>
    <row r="251" spans="1:5" x14ac:dyDescent="0.25">
      <c r="A251" s="145">
        <v>250</v>
      </c>
      <c r="B251" s="144" t="str">
        <f t="shared" si="12"/>
        <v>ú</v>
      </c>
      <c r="C251" s="143" t="str">
        <f t="shared" si="12"/>
        <v>ú</v>
      </c>
      <c r="D251" s="142" t="str">
        <f t="shared" si="12"/>
        <v>ú</v>
      </c>
      <c r="E251" s="141" t="str">
        <f t="shared" si="12"/>
        <v>ú</v>
      </c>
    </row>
    <row r="252" spans="1:5" x14ac:dyDescent="0.25">
      <c r="A252" s="145">
        <v>251</v>
      </c>
      <c r="B252" s="144" t="str">
        <f t="shared" si="12"/>
        <v>û</v>
      </c>
      <c r="C252" s="143" t="str">
        <f t="shared" si="12"/>
        <v>û</v>
      </c>
      <c r="D252" s="142" t="str">
        <f t="shared" si="12"/>
        <v>û</v>
      </c>
      <c r="E252" s="141" t="str">
        <f t="shared" si="12"/>
        <v>û</v>
      </c>
    </row>
    <row r="253" spans="1:5" x14ac:dyDescent="0.25">
      <c r="A253" s="145">
        <v>252</v>
      </c>
      <c r="B253" s="144" t="str">
        <f t="shared" si="12"/>
        <v>ü</v>
      </c>
      <c r="C253" s="143" t="str">
        <f t="shared" si="12"/>
        <v>ü</v>
      </c>
      <c r="D253" s="142" t="str">
        <f t="shared" si="12"/>
        <v>ü</v>
      </c>
      <c r="E253" s="141" t="str">
        <f t="shared" si="12"/>
        <v>ü</v>
      </c>
    </row>
    <row r="254" spans="1:5" x14ac:dyDescent="0.25">
      <c r="A254" s="145">
        <v>253</v>
      </c>
      <c r="B254" s="144" t="str">
        <f t="shared" si="12"/>
        <v>ý</v>
      </c>
      <c r="C254" s="143" t="str">
        <f t="shared" si="12"/>
        <v>ý</v>
      </c>
      <c r="D254" s="142" t="str">
        <f t="shared" si="12"/>
        <v>ý</v>
      </c>
      <c r="E254" s="141" t="str">
        <f t="shared" si="12"/>
        <v>ý</v>
      </c>
    </row>
    <row r="255" spans="1:5" x14ac:dyDescent="0.25">
      <c r="A255" s="145">
        <v>254</v>
      </c>
      <c r="B255" s="144" t="str">
        <f t="shared" si="12"/>
        <v>þ</v>
      </c>
      <c r="C255" s="143" t="str">
        <f t="shared" si="12"/>
        <v>þ</v>
      </c>
      <c r="D255" s="142" t="str">
        <f t="shared" si="12"/>
        <v>þ</v>
      </c>
      <c r="E255" s="141" t="str">
        <f t="shared" si="12"/>
        <v>þ</v>
      </c>
    </row>
    <row r="256" spans="1:5" ht="16.5" thickBot="1" x14ac:dyDescent="0.3">
      <c r="A256" s="140">
        <v>255</v>
      </c>
      <c r="B256" s="139" t="str">
        <f t="shared" si="12"/>
        <v>ÿ</v>
      </c>
      <c r="C256" s="138" t="str">
        <f t="shared" si="12"/>
        <v>ÿ</v>
      </c>
      <c r="D256" s="137" t="str">
        <f t="shared" si="12"/>
        <v>ÿ</v>
      </c>
      <c r="E256" s="136" t="str">
        <f t="shared" si="12"/>
        <v>ÿ</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8"/>
  <sheetViews>
    <sheetView topLeftCell="A16" workbookViewId="0">
      <selection activeCell="B12" sqref="B12:I12"/>
    </sheetView>
  </sheetViews>
  <sheetFormatPr defaultRowHeight="15.75" x14ac:dyDescent="0.25"/>
  <cols>
    <col min="1" max="1" width="31.42578125" style="117" customWidth="1"/>
    <col min="2" max="36" width="4.7109375" style="117" customWidth="1"/>
    <col min="37" max="16384" width="9.140625" style="117"/>
  </cols>
  <sheetData>
    <row r="1" spans="1:37" x14ac:dyDescent="0.25">
      <c r="A1" s="359" t="s">
        <v>491</v>
      </c>
      <c r="B1" s="359"/>
      <c r="C1" s="359"/>
    </row>
    <row r="2" spans="1:37" x14ac:dyDescent="0.25">
      <c r="A2" s="128" t="s">
        <v>490</v>
      </c>
    </row>
    <row r="3" spans="1:37" x14ac:dyDescent="0.25">
      <c r="A3" s="130" t="s">
        <v>489</v>
      </c>
      <c r="B3" s="132"/>
    </row>
    <row r="4" spans="1:37" x14ac:dyDescent="0.25">
      <c r="A4" s="130" t="s">
        <v>488</v>
      </c>
      <c r="B4" s="131"/>
    </row>
    <row r="5" spans="1:37" x14ac:dyDescent="0.25">
      <c r="A5" s="130" t="s">
        <v>487</v>
      </c>
      <c r="B5" s="129"/>
    </row>
    <row r="7" spans="1:37" x14ac:dyDescent="0.25">
      <c r="A7" s="128" t="s">
        <v>486</v>
      </c>
      <c r="B7" s="123">
        <v>128</v>
      </c>
      <c r="C7" s="123">
        <v>64</v>
      </c>
      <c r="D7" s="123">
        <v>32</v>
      </c>
      <c r="E7" s="123">
        <v>16</v>
      </c>
      <c r="F7" s="123">
        <v>8</v>
      </c>
      <c r="G7" s="123">
        <v>4</v>
      </c>
      <c r="H7" s="123">
        <v>2</v>
      </c>
      <c r="I7" s="123">
        <v>1</v>
      </c>
      <c r="J7" s="123" t="s">
        <v>480</v>
      </c>
      <c r="K7" s="123">
        <v>128</v>
      </c>
      <c r="L7" s="123">
        <v>64</v>
      </c>
      <c r="M7" s="123">
        <v>32</v>
      </c>
      <c r="N7" s="123">
        <v>16</v>
      </c>
      <c r="O7" s="123">
        <v>8</v>
      </c>
      <c r="P7" s="123">
        <v>4</v>
      </c>
      <c r="Q7" s="123">
        <v>2</v>
      </c>
      <c r="R7" s="123">
        <v>1</v>
      </c>
      <c r="S7" s="123" t="s">
        <v>480</v>
      </c>
      <c r="T7" s="123">
        <v>128</v>
      </c>
      <c r="U7" s="123">
        <v>64</v>
      </c>
      <c r="V7" s="123">
        <v>32</v>
      </c>
      <c r="W7" s="123">
        <v>16</v>
      </c>
      <c r="X7" s="123">
        <v>8</v>
      </c>
      <c r="Y7" s="123">
        <v>4</v>
      </c>
      <c r="Z7" s="123">
        <v>2</v>
      </c>
      <c r="AA7" s="123">
        <v>1</v>
      </c>
      <c r="AB7" s="123" t="s">
        <v>480</v>
      </c>
      <c r="AC7" s="123">
        <v>128</v>
      </c>
      <c r="AD7" s="123">
        <v>64</v>
      </c>
      <c r="AE7" s="123">
        <v>32</v>
      </c>
      <c r="AF7" s="123">
        <v>16</v>
      </c>
      <c r="AG7" s="123">
        <v>8</v>
      </c>
      <c r="AH7" s="123">
        <v>4</v>
      </c>
      <c r="AI7" s="123">
        <v>2</v>
      </c>
      <c r="AJ7" s="123">
        <v>1</v>
      </c>
      <c r="AK7" s="123"/>
    </row>
    <row r="8" spans="1:37" x14ac:dyDescent="0.25">
      <c r="A8" s="360" t="s">
        <v>485</v>
      </c>
      <c r="B8" s="358">
        <v>255</v>
      </c>
      <c r="C8" s="358"/>
      <c r="D8" s="358"/>
      <c r="E8" s="358"/>
      <c r="F8" s="358"/>
      <c r="G8" s="358"/>
      <c r="H8" s="358"/>
      <c r="I8" s="358"/>
      <c r="J8" s="123"/>
      <c r="K8" s="358">
        <v>0</v>
      </c>
      <c r="L8" s="358"/>
      <c r="M8" s="358"/>
      <c r="N8" s="358"/>
      <c r="O8" s="358"/>
      <c r="P8" s="358"/>
      <c r="Q8" s="358"/>
      <c r="R8" s="358"/>
      <c r="S8" s="123"/>
      <c r="T8" s="358">
        <v>0</v>
      </c>
      <c r="U8" s="358"/>
      <c r="V8" s="358"/>
      <c r="W8" s="358"/>
      <c r="X8" s="358"/>
      <c r="Y8" s="358"/>
      <c r="Z8" s="358"/>
      <c r="AA8" s="358"/>
      <c r="AB8" s="123"/>
      <c r="AC8" s="358">
        <v>0</v>
      </c>
      <c r="AD8" s="358"/>
      <c r="AE8" s="358"/>
      <c r="AF8" s="358"/>
      <c r="AG8" s="358"/>
      <c r="AH8" s="358"/>
      <c r="AI8" s="358"/>
      <c r="AJ8" s="358"/>
      <c r="AK8" s="123"/>
    </row>
    <row r="9" spans="1:37" x14ac:dyDescent="0.25">
      <c r="A9" s="360"/>
      <c r="B9" s="127">
        <v>1</v>
      </c>
      <c r="C9" s="127">
        <v>1</v>
      </c>
      <c r="D9" s="127">
        <v>1</v>
      </c>
      <c r="E9" s="127">
        <v>1</v>
      </c>
      <c r="F9" s="127">
        <v>1</v>
      </c>
      <c r="G9" s="127">
        <v>1</v>
      </c>
      <c r="H9" s="127">
        <v>1</v>
      </c>
      <c r="I9" s="127">
        <v>1</v>
      </c>
      <c r="J9" s="123" t="s">
        <v>480</v>
      </c>
      <c r="K9" s="125">
        <v>0</v>
      </c>
      <c r="L9" s="125">
        <v>0</v>
      </c>
      <c r="M9" s="125">
        <v>0</v>
      </c>
      <c r="N9" s="125">
        <v>0</v>
      </c>
      <c r="O9" s="125">
        <v>0</v>
      </c>
      <c r="P9" s="125">
        <v>0</v>
      </c>
      <c r="Q9" s="125">
        <v>0</v>
      </c>
      <c r="R9" s="125">
        <v>0</v>
      </c>
      <c r="S9" s="123" t="s">
        <v>480</v>
      </c>
      <c r="T9" s="125">
        <v>0</v>
      </c>
      <c r="U9" s="125">
        <v>0</v>
      </c>
      <c r="V9" s="125">
        <v>0</v>
      </c>
      <c r="W9" s="125">
        <v>0</v>
      </c>
      <c r="X9" s="125">
        <v>0</v>
      </c>
      <c r="Y9" s="125">
        <v>0</v>
      </c>
      <c r="Z9" s="125">
        <v>0</v>
      </c>
      <c r="AA9" s="125">
        <v>0</v>
      </c>
      <c r="AB9" s="117" t="s">
        <v>480</v>
      </c>
      <c r="AC9" s="125">
        <v>0</v>
      </c>
      <c r="AD9" s="125">
        <v>0</v>
      </c>
      <c r="AE9" s="125">
        <v>0</v>
      </c>
      <c r="AF9" s="125">
        <v>0</v>
      </c>
      <c r="AG9" s="125">
        <v>0</v>
      </c>
      <c r="AH9" s="125">
        <v>0</v>
      </c>
      <c r="AI9" s="125">
        <v>0</v>
      </c>
      <c r="AJ9" s="125">
        <v>0</v>
      </c>
    </row>
    <row r="10" spans="1:37" x14ac:dyDescent="0.25">
      <c r="A10" s="360" t="s">
        <v>484</v>
      </c>
      <c r="B10" s="358">
        <v>255</v>
      </c>
      <c r="C10" s="358"/>
      <c r="D10" s="358"/>
      <c r="E10" s="358"/>
      <c r="F10" s="358"/>
      <c r="G10" s="358"/>
      <c r="H10" s="358"/>
      <c r="I10" s="358"/>
      <c r="J10" s="123"/>
      <c r="K10" s="358">
        <v>255</v>
      </c>
      <c r="L10" s="358"/>
      <c r="M10" s="358"/>
      <c r="N10" s="358"/>
      <c r="O10" s="358"/>
      <c r="P10" s="358"/>
      <c r="Q10" s="358"/>
      <c r="R10" s="358"/>
      <c r="S10" s="123"/>
      <c r="T10" s="358">
        <v>0</v>
      </c>
      <c r="U10" s="358"/>
      <c r="V10" s="358"/>
      <c r="W10" s="358"/>
      <c r="X10" s="358"/>
      <c r="Y10" s="358"/>
      <c r="Z10" s="358"/>
      <c r="AA10" s="358"/>
      <c r="AC10" s="358">
        <v>0</v>
      </c>
      <c r="AD10" s="358"/>
      <c r="AE10" s="358"/>
      <c r="AF10" s="358"/>
      <c r="AG10" s="358"/>
      <c r="AH10" s="358"/>
      <c r="AI10" s="358"/>
      <c r="AJ10" s="358"/>
    </row>
    <row r="11" spans="1:37" x14ac:dyDescent="0.25">
      <c r="A11" s="360"/>
      <c r="B11" s="127">
        <v>1</v>
      </c>
      <c r="C11" s="127">
        <v>1</v>
      </c>
      <c r="D11" s="127">
        <v>1</v>
      </c>
      <c r="E11" s="127">
        <v>1</v>
      </c>
      <c r="F11" s="127">
        <v>1</v>
      </c>
      <c r="G11" s="127">
        <v>1</v>
      </c>
      <c r="H11" s="127">
        <v>1</v>
      </c>
      <c r="I11" s="127">
        <v>1</v>
      </c>
      <c r="J11" s="123" t="s">
        <v>480</v>
      </c>
      <c r="K11" s="127">
        <v>1</v>
      </c>
      <c r="L11" s="127">
        <v>1</v>
      </c>
      <c r="M11" s="127">
        <v>1</v>
      </c>
      <c r="N11" s="127">
        <v>1</v>
      </c>
      <c r="O11" s="127">
        <v>1</v>
      </c>
      <c r="P11" s="127">
        <v>1</v>
      </c>
      <c r="Q11" s="127">
        <v>1</v>
      </c>
      <c r="R11" s="127">
        <v>1</v>
      </c>
      <c r="S11" s="123" t="s">
        <v>480</v>
      </c>
      <c r="T11" s="125">
        <v>0</v>
      </c>
      <c r="U11" s="125">
        <v>0</v>
      </c>
      <c r="V11" s="125">
        <v>0</v>
      </c>
      <c r="W11" s="125">
        <v>0</v>
      </c>
      <c r="X11" s="125">
        <v>0</v>
      </c>
      <c r="Y11" s="125">
        <v>0</v>
      </c>
      <c r="Z11" s="125">
        <v>0</v>
      </c>
      <c r="AA11" s="125">
        <v>0</v>
      </c>
      <c r="AB11" s="117" t="s">
        <v>480</v>
      </c>
      <c r="AC11" s="125">
        <v>0</v>
      </c>
      <c r="AD11" s="125">
        <v>0</v>
      </c>
      <c r="AE11" s="125">
        <v>0</v>
      </c>
      <c r="AF11" s="125">
        <v>0</v>
      </c>
      <c r="AG11" s="125">
        <v>0</v>
      </c>
      <c r="AH11" s="125">
        <v>0</v>
      </c>
      <c r="AI11" s="125">
        <v>0</v>
      </c>
      <c r="AJ11" s="125">
        <v>0</v>
      </c>
    </row>
    <row r="12" spans="1:37" x14ac:dyDescent="0.25">
      <c r="A12" s="360" t="s">
        <v>483</v>
      </c>
      <c r="B12" s="358">
        <v>255</v>
      </c>
      <c r="C12" s="358"/>
      <c r="D12" s="358"/>
      <c r="E12" s="358"/>
      <c r="F12" s="358"/>
      <c r="G12" s="358"/>
      <c r="H12" s="358"/>
      <c r="I12" s="358"/>
      <c r="J12" s="123"/>
      <c r="K12" s="358">
        <v>255</v>
      </c>
      <c r="L12" s="358"/>
      <c r="M12" s="358"/>
      <c r="N12" s="358"/>
      <c r="O12" s="358"/>
      <c r="P12" s="358"/>
      <c r="Q12" s="358"/>
      <c r="R12" s="358"/>
      <c r="S12" s="123"/>
      <c r="T12" s="358">
        <v>255</v>
      </c>
      <c r="U12" s="358"/>
      <c r="V12" s="358"/>
      <c r="W12" s="358"/>
      <c r="X12" s="358"/>
      <c r="Y12" s="358"/>
      <c r="Z12" s="358"/>
      <c r="AA12" s="358"/>
      <c r="AC12" s="358">
        <v>0</v>
      </c>
      <c r="AD12" s="358"/>
      <c r="AE12" s="358"/>
      <c r="AF12" s="358"/>
      <c r="AG12" s="358"/>
      <c r="AH12" s="358"/>
      <c r="AI12" s="358"/>
      <c r="AJ12" s="358"/>
    </row>
    <row r="13" spans="1:37" x14ac:dyDescent="0.25">
      <c r="A13" s="360"/>
      <c r="B13" s="127">
        <v>1</v>
      </c>
      <c r="C13" s="127">
        <v>1</v>
      </c>
      <c r="D13" s="127">
        <v>1</v>
      </c>
      <c r="E13" s="127">
        <v>1</v>
      </c>
      <c r="F13" s="127">
        <v>1</v>
      </c>
      <c r="G13" s="127">
        <v>1</v>
      </c>
      <c r="H13" s="127">
        <v>1</v>
      </c>
      <c r="I13" s="127">
        <v>1</v>
      </c>
      <c r="J13" s="123" t="s">
        <v>480</v>
      </c>
      <c r="K13" s="127">
        <v>1</v>
      </c>
      <c r="L13" s="127">
        <v>1</v>
      </c>
      <c r="M13" s="127">
        <v>1</v>
      </c>
      <c r="N13" s="127">
        <v>1</v>
      </c>
      <c r="O13" s="127">
        <v>1</v>
      </c>
      <c r="P13" s="127">
        <v>1</v>
      </c>
      <c r="Q13" s="127">
        <v>1</v>
      </c>
      <c r="R13" s="127">
        <v>1</v>
      </c>
      <c r="S13" s="123" t="s">
        <v>480</v>
      </c>
      <c r="T13" s="127">
        <v>1</v>
      </c>
      <c r="U13" s="127">
        <v>1</v>
      </c>
      <c r="V13" s="127">
        <v>1</v>
      </c>
      <c r="W13" s="127">
        <v>1</v>
      </c>
      <c r="X13" s="127">
        <v>1</v>
      </c>
      <c r="Y13" s="127">
        <v>1</v>
      </c>
      <c r="Z13" s="127">
        <v>1</v>
      </c>
      <c r="AA13" s="127">
        <v>1</v>
      </c>
      <c r="AB13" s="117" t="s">
        <v>480</v>
      </c>
      <c r="AC13" s="125">
        <v>0</v>
      </c>
      <c r="AD13" s="125">
        <v>0</v>
      </c>
      <c r="AE13" s="125">
        <v>0</v>
      </c>
      <c r="AF13" s="125">
        <v>0</v>
      </c>
      <c r="AG13" s="125">
        <v>0</v>
      </c>
      <c r="AH13" s="125">
        <v>0</v>
      </c>
      <c r="AI13" s="125">
        <v>0</v>
      </c>
      <c r="AJ13" s="125">
        <v>0</v>
      </c>
    </row>
    <row r="16" spans="1:37" x14ac:dyDescent="0.25">
      <c r="A16" s="128" t="s">
        <v>482</v>
      </c>
      <c r="B16" s="358">
        <v>255</v>
      </c>
      <c r="C16" s="358"/>
      <c r="D16" s="358"/>
      <c r="E16" s="358"/>
      <c r="F16" s="358"/>
      <c r="G16" s="358"/>
      <c r="H16" s="358"/>
      <c r="I16" s="358"/>
      <c r="K16" s="358">
        <v>255</v>
      </c>
      <c r="L16" s="358"/>
      <c r="M16" s="358"/>
      <c r="N16" s="358"/>
      <c r="O16" s="358"/>
      <c r="P16" s="358"/>
      <c r="Q16" s="358"/>
      <c r="R16" s="358"/>
      <c r="T16" s="358">
        <v>192</v>
      </c>
      <c r="U16" s="358"/>
      <c r="V16" s="358"/>
      <c r="W16" s="358"/>
      <c r="X16" s="358"/>
      <c r="Y16" s="358"/>
      <c r="Z16" s="358"/>
      <c r="AA16" s="358"/>
      <c r="AC16" s="358">
        <v>0</v>
      </c>
      <c r="AD16" s="358"/>
      <c r="AE16" s="358"/>
      <c r="AF16" s="358"/>
      <c r="AG16" s="358"/>
      <c r="AH16" s="358"/>
      <c r="AI16" s="358"/>
      <c r="AJ16" s="358"/>
    </row>
    <row r="17" spans="1:36" x14ac:dyDescent="0.25">
      <c r="B17" s="123">
        <v>128</v>
      </c>
      <c r="C17" s="123">
        <v>64</v>
      </c>
      <c r="D17" s="123">
        <v>32</v>
      </c>
      <c r="E17" s="123">
        <v>16</v>
      </c>
      <c r="F17" s="123">
        <v>8</v>
      </c>
      <c r="G17" s="123">
        <v>4</v>
      </c>
      <c r="H17" s="123">
        <v>2</v>
      </c>
      <c r="I17" s="123">
        <v>1</v>
      </c>
      <c r="J17" s="123" t="s">
        <v>480</v>
      </c>
      <c r="K17" s="123">
        <v>128</v>
      </c>
      <c r="L17" s="123">
        <v>64</v>
      </c>
      <c r="M17" s="123">
        <v>32</v>
      </c>
      <c r="N17" s="123">
        <v>16</v>
      </c>
      <c r="O17" s="123">
        <v>8</v>
      </c>
      <c r="P17" s="123">
        <v>4</v>
      </c>
      <c r="Q17" s="123">
        <v>2</v>
      </c>
      <c r="R17" s="123">
        <v>1</v>
      </c>
      <c r="S17" s="123" t="s">
        <v>480</v>
      </c>
      <c r="T17" s="123">
        <v>128</v>
      </c>
      <c r="U17" s="123">
        <v>64</v>
      </c>
      <c r="V17" s="123">
        <v>32</v>
      </c>
      <c r="W17" s="123">
        <v>16</v>
      </c>
      <c r="X17" s="123">
        <v>8</v>
      </c>
      <c r="Y17" s="123">
        <v>4</v>
      </c>
      <c r="Z17" s="123">
        <v>2</v>
      </c>
      <c r="AA17" s="123">
        <v>1</v>
      </c>
      <c r="AB17" s="123" t="s">
        <v>480</v>
      </c>
      <c r="AC17" s="123">
        <v>128</v>
      </c>
      <c r="AD17" s="123">
        <v>64</v>
      </c>
      <c r="AE17" s="123">
        <v>32</v>
      </c>
      <c r="AF17" s="123">
        <v>16</v>
      </c>
      <c r="AG17" s="123">
        <v>8</v>
      </c>
      <c r="AH17" s="123">
        <v>4</v>
      </c>
      <c r="AI17" s="123">
        <v>2</v>
      </c>
      <c r="AJ17" s="123">
        <v>1</v>
      </c>
    </row>
    <row r="18" spans="1:36" x14ac:dyDescent="0.25">
      <c r="A18" s="117" t="s">
        <v>481</v>
      </c>
      <c r="B18" s="127">
        <v>1</v>
      </c>
      <c r="C18" s="127">
        <v>1</v>
      </c>
      <c r="D18" s="127">
        <v>1</v>
      </c>
      <c r="E18" s="127">
        <v>1</v>
      </c>
      <c r="F18" s="127">
        <v>1</v>
      </c>
      <c r="G18" s="127">
        <v>1</v>
      </c>
      <c r="H18" s="127">
        <v>1</v>
      </c>
      <c r="I18" s="127">
        <v>1</v>
      </c>
      <c r="J18" s="123" t="s">
        <v>480</v>
      </c>
      <c r="K18" s="127">
        <v>1</v>
      </c>
      <c r="L18" s="127">
        <v>1</v>
      </c>
      <c r="M18" s="127">
        <v>1</v>
      </c>
      <c r="N18" s="127">
        <v>1</v>
      </c>
      <c r="O18" s="127">
        <v>1</v>
      </c>
      <c r="P18" s="127">
        <v>1</v>
      </c>
      <c r="Q18" s="127">
        <v>1</v>
      </c>
      <c r="R18" s="127">
        <v>1</v>
      </c>
      <c r="S18" s="123" t="s">
        <v>480</v>
      </c>
      <c r="T18" s="126">
        <v>1</v>
      </c>
      <c r="U18" s="126">
        <v>1</v>
      </c>
      <c r="V18" s="125">
        <v>0</v>
      </c>
      <c r="W18" s="125">
        <v>0</v>
      </c>
      <c r="X18" s="125">
        <v>0</v>
      </c>
      <c r="Y18" s="125">
        <v>0</v>
      </c>
      <c r="Z18" s="125">
        <v>0</v>
      </c>
      <c r="AA18" s="125">
        <v>0</v>
      </c>
      <c r="AB18" s="117" t="s">
        <v>480</v>
      </c>
      <c r="AC18" s="125">
        <v>0</v>
      </c>
      <c r="AD18" s="125">
        <v>0</v>
      </c>
      <c r="AE18" s="125">
        <v>0</v>
      </c>
      <c r="AF18" s="125">
        <v>0</v>
      </c>
      <c r="AG18" s="125">
        <v>0</v>
      </c>
      <c r="AH18" s="125">
        <v>0</v>
      </c>
      <c r="AI18" s="125">
        <v>0</v>
      </c>
      <c r="AJ18" s="125">
        <v>0</v>
      </c>
    </row>
    <row r="19" spans="1:36" x14ac:dyDescent="0.25">
      <c r="A19" s="117" t="s">
        <v>479</v>
      </c>
      <c r="R19" s="123">
        <v>1</v>
      </c>
      <c r="S19" s="123"/>
      <c r="T19" s="123">
        <v>2</v>
      </c>
      <c r="U19" s="124">
        <v>4</v>
      </c>
      <c r="V19" s="123">
        <v>8</v>
      </c>
      <c r="W19" s="123">
        <v>16</v>
      </c>
      <c r="X19" s="123">
        <v>32</v>
      </c>
      <c r="Y19" s="123">
        <v>64</v>
      </c>
    </row>
    <row r="20" spans="1:36" ht="35.25" x14ac:dyDescent="0.25">
      <c r="A20" s="117" t="s">
        <v>478</v>
      </c>
      <c r="T20" s="118">
        <v>32768</v>
      </c>
      <c r="U20" s="122">
        <v>16384</v>
      </c>
      <c r="V20" s="118">
        <v>8192</v>
      </c>
      <c r="W20" s="118">
        <v>4096</v>
      </c>
      <c r="X20" s="118">
        <v>2048</v>
      </c>
      <c r="Y20" s="118">
        <v>1024</v>
      </c>
      <c r="Z20" s="118">
        <v>512</v>
      </c>
      <c r="AA20" s="118">
        <v>256</v>
      </c>
      <c r="AB20" s="118"/>
      <c r="AC20" s="118">
        <v>128</v>
      </c>
      <c r="AD20" s="118">
        <v>64</v>
      </c>
      <c r="AE20" s="118">
        <v>32</v>
      </c>
      <c r="AF20" s="118">
        <v>16</v>
      </c>
      <c r="AG20" s="118">
        <v>8</v>
      </c>
      <c r="AH20" s="118">
        <v>4</v>
      </c>
      <c r="AI20" s="118">
        <v>2</v>
      </c>
      <c r="AJ20" s="118">
        <v>1</v>
      </c>
    </row>
    <row r="21" spans="1:36" ht="35.25" x14ac:dyDescent="0.25">
      <c r="A21" s="117" t="s">
        <v>477</v>
      </c>
      <c r="T21" s="118">
        <f t="shared" ref="T21:AA21" si="0">T20-2</f>
        <v>32766</v>
      </c>
      <c r="U21" s="122">
        <f t="shared" si="0"/>
        <v>16382</v>
      </c>
      <c r="V21" s="118">
        <f t="shared" si="0"/>
        <v>8190</v>
      </c>
      <c r="W21" s="118">
        <f t="shared" si="0"/>
        <v>4094</v>
      </c>
      <c r="X21" s="118">
        <f t="shared" si="0"/>
        <v>2046</v>
      </c>
      <c r="Y21" s="118">
        <f t="shared" si="0"/>
        <v>1022</v>
      </c>
      <c r="Z21" s="118">
        <f t="shared" si="0"/>
        <v>510</v>
      </c>
      <c r="AA21" s="118">
        <f t="shared" si="0"/>
        <v>254</v>
      </c>
      <c r="AB21" s="118"/>
      <c r="AC21" s="118">
        <f t="shared" ref="AC21:AH21" si="1">AC20-2</f>
        <v>126</v>
      </c>
      <c r="AD21" s="118">
        <f t="shared" si="1"/>
        <v>62</v>
      </c>
      <c r="AE21" s="118">
        <f t="shared" si="1"/>
        <v>30</v>
      </c>
      <c r="AF21" s="118">
        <f t="shared" si="1"/>
        <v>14</v>
      </c>
      <c r="AG21" s="118">
        <f t="shared" si="1"/>
        <v>6</v>
      </c>
      <c r="AH21" s="118">
        <f t="shared" si="1"/>
        <v>2</v>
      </c>
      <c r="AI21" s="118" t="s">
        <v>476</v>
      </c>
      <c r="AJ21" s="118" t="s">
        <v>476</v>
      </c>
    </row>
    <row r="22" spans="1:36" ht="29.25" x14ac:dyDescent="0.25">
      <c r="A22" s="117" t="s">
        <v>475</v>
      </c>
      <c r="K22" s="121">
        <v>1024</v>
      </c>
      <c r="L22" s="121">
        <v>512</v>
      </c>
      <c r="M22" s="121">
        <v>128</v>
      </c>
      <c r="N22" s="121">
        <v>64</v>
      </c>
      <c r="O22" s="121">
        <v>32</v>
      </c>
      <c r="P22" s="121">
        <v>16</v>
      </c>
      <c r="Q22" s="121">
        <v>8</v>
      </c>
      <c r="R22" s="121">
        <v>4</v>
      </c>
      <c r="S22" s="121"/>
      <c r="T22" s="121">
        <v>2</v>
      </c>
      <c r="U22" s="121">
        <v>1</v>
      </c>
    </row>
    <row r="23" spans="1:36" x14ac:dyDescent="0.25">
      <c r="A23" s="117" t="s">
        <v>474</v>
      </c>
      <c r="T23" s="120">
        <v>0</v>
      </c>
      <c r="U23" s="119">
        <v>1</v>
      </c>
      <c r="V23" s="118"/>
      <c r="W23" s="118"/>
      <c r="X23" s="118"/>
      <c r="Y23" s="118"/>
      <c r="Z23" s="118"/>
      <c r="AA23" s="118"/>
      <c r="AB23" s="118"/>
      <c r="AC23" s="118"/>
      <c r="AD23" s="118"/>
      <c r="AE23" s="118"/>
      <c r="AF23" s="118"/>
      <c r="AG23" s="118"/>
      <c r="AH23" s="118"/>
      <c r="AI23" s="118"/>
      <c r="AJ23" s="118"/>
    </row>
    <row r="24" spans="1:36" x14ac:dyDescent="0.25">
      <c r="T24" s="120"/>
      <c r="U24" s="119"/>
      <c r="V24" s="118"/>
      <c r="W24" s="118"/>
      <c r="X24" s="118"/>
      <c r="Y24" s="118"/>
      <c r="Z24" s="118"/>
      <c r="AA24" s="118"/>
      <c r="AB24" s="118"/>
      <c r="AC24" s="118"/>
      <c r="AD24" s="118"/>
      <c r="AE24" s="118"/>
      <c r="AF24" s="118"/>
      <c r="AG24" s="118"/>
      <c r="AH24" s="118"/>
      <c r="AI24" s="118"/>
      <c r="AJ24" s="118"/>
    </row>
    <row r="25" spans="1:36" ht="47.25" customHeight="1" x14ac:dyDescent="0.25">
      <c r="A25" s="361" t="s">
        <v>473</v>
      </c>
      <c r="B25" s="361"/>
      <c r="C25" s="361"/>
      <c r="D25" s="361"/>
      <c r="E25" s="361"/>
      <c r="F25" s="361"/>
      <c r="G25" s="361"/>
      <c r="H25" s="361"/>
      <c r="I25" s="361"/>
      <c r="J25" s="361"/>
      <c r="K25" s="361"/>
      <c r="L25" s="361"/>
      <c r="M25" s="361"/>
      <c r="N25" s="361"/>
      <c r="O25" s="361"/>
      <c r="P25" s="361"/>
      <c r="Q25" s="361"/>
      <c r="R25" s="361"/>
      <c r="S25" s="361"/>
      <c r="T25" s="361"/>
      <c r="U25" s="361"/>
      <c r="V25" s="361"/>
      <c r="W25" s="361"/>
      <c r="X25" s="361"/>
      <c r="Y25" s="361"/>
      <c r="Z25" s="361"/>
      <c r="AA25" s="361"/>
      <c r="AB25" s="361"/>
      <c r="AC25" s="361"/>
      <c r="AD25" s="361"/>
      <c r="AE25" s="361"/>
      <c r="AF25" s="361"/>
      <c r="AG25" s="361"/>
      <c r="AH25" s="361"/>
      <c r="AI25" s="361"/>
      <c r="AJ25" s="361"/>
    </row>
    <row r="26" spans="1:36" ht="33" customHeight="1" x14ac:dyDescent="0.25">
      <c r="A26" s="361" t="s">
        <v>472</v>
      </c>
      <c r="B26" s="361"/>
      <c r="C26" s="361"/>
      <c r="D26" s="361"/>
      <c r="E26" s="361"/>
      <c r="F26" s="361"/>
      <c r="G26" s="361"/>
      <c r="H26" s="361"/>
      <c r="I26" s="361"/>
      <c r="J26" s="361"/>
      <c r="K26" s="361"/>
      <c r="L26" s="361"/>
      <c r="M26" s="361"/>
      <c r="N26" s="361"/>
      <c r="O26" s="361"/>
      <c r="P26" s="361"/>
      <c r="Q26" s="361"/>
      <c r="R26" s="361"/>
      <c r="S26" s="361"/>
      <c r="T26" s="361"/>
      <c r="U26" s="361"/>
      <c r="V26" s="361"/>
      <c r="W26" s="361"/>
      <c r="X26" s="361"/>
      <c r="Y26" s="361"/>
      <c r="Z26" s="361"/>
      <c r="AA26" s="361"/>
      <c r="AB26" s="361"/>
      <c r="AC26" s="361"/>
      <c r="AD26" s="361"/>
      <c r="AE26" s="361"/>
      <c r="AF26" s="361"/>
      <c r="AG26" s="361"/>
      <c r="AH26" s="361"/>
      <c r="AI26" s="361"/>
      <c r="AJ26" s="361"/>
    </row>
    <row r="27" spans="1:36" x14ac:dyDescent="0.25">
      <c r="A27" s="360" t="s">
        <v>471</v>
      </c>
      <c r="B27" s="360"/>
      <c r="C27" s="360"/>
      <c r="D27" s="360"/>
      <c r="E27" s="360"/>
      <c r="F27" s="360"/>
      <c r="G27" s="360"/>
      <c r="H27" s="360"/>
      <c r="I27" s="360"/>
      <c r="J27" s="360"/>
      <c r="K27" s="360"/>
      <c r="L27" s="360"/>
      <c r="M27" s="360"/>
      <c r="N27" s="360"/>
      <c r="O27" s="360"/>
      <c r="P27" s="360"/>
      <c r="Q27" s="360"/>
      <c r="R27" s="360"/>
      <c r="S27" s="360"/>
      <c r="T27" s="360"/>
      <c r="U27" s="360"/>
      <c r="V27" s="360"/>
      <c r="W27" s="360"/>
      <c r="X27" s="360"/>
      <c r="Y27" s="360"/>
      <c r="Z27" s="360"/>
      <c r="AA27" s="360"/>
      <c r="AB27" s="360"/>
      <c r="AC27" s="360"/>
      <c r="AD27" s="360"/>
      <c r="AE27" s="360"/>
      <c r="AF27" s="360"/>
      <c r="AG27" s="360"/>
      <c r="AH27" s="360"/>
      <c r="AI27" s="360"/>
      <c r="AJ27" s="360"/>
    </row>
    <row r="28" spans="1:36" ht="48" customHeight="1" x14ac:dyDescent="0.25">
      <c r="A28" s="361" t="s">
        <v>470</v>
      </c>
      <c r="B28" s="361"/>
      <c r="C28" s="361"/>
      <c r="D28" s="361"/>
      <c r="E28" s="361"/>
      <c r="F28" s="361"/>
      <c r="G28" s="361"/>
      <c r="H28" s="361"/>
      <c r="I28" s="361"/>
      <c r="J28" s="361"/>
      <c r="K28" s="361"/>
      <c r="L28" s="361"/>
      <c r="M28" s="361"/>
      <c r="N28" s="361"/>
      <c r="O28" s="361"/>
      <c r="P28" s="361"/>
      <c r="Q28" s="361"/>
      <c r="R28" s="361"/>
      <c r="S28" s="361"/>
      <c r="T28" s="361"/>
      <c r="U28" s="361"/>
      <c r="V28" s="361"/>
      <c r="W28" s="361"/>
      <c r="X28" s="361"/>
      <c r="Y28" s="361"/>
      <c r="Z28" s="361"/>
      <c r="AA28" s="361"/>
      <c r="AB28" s="361"/>
      <c r="AC28" s="361"/>
      <c r="AD28" s="361"/>
      <c r="AE28" s="361"/>
      <c r="AF28" s="361"/>
      <c r="AG28" s="361"/>
      <c r="AH28" s="361"/>
      <c r="AI28" s="361"/>
      <c r="AJ28" s="361"/>
    </row>
  </sheetData>
  <mergeCells count="24">
    <mergeCell ref="A27:AJ27"/>
    <mergeCell ref="A28:AJ28"/>
    <mergeCell ref="B16:I16"/>
    <mergeCell ref="K16:R16"/>
    <mergeCell ref="T16:AA16"/>
    <mergeCell ref="AC16:AJ16"/>
    <mergeCell ref="A25:AJ25"/>
    <mergeCell ref="A26:AJ26"/>
    <mergeCell ref="A10:A11"/>
    <mergeCell ref="B10:I10"/>
    <mergeCell ref="K10:R10"/>
    <mergeCell ref="T10:AA10"/>
    <mergeCell ref="AC10:AJ10"/>
    <mergeCell ref="A12:A13"/>
    <mergeCell ref="B12:I12"/>
    <mergeCell ref="K12:R12"/>
    <mergeCell ref="T12:AA12"/>
    <mergeCell ref="AC12:AJ12"/>
    <mergeCell ref="AC8:AJ8"/>
    <mergeCell ref="A1:C1"/>
    <mergeCell ref="A8:A9"/>
    <mergeCell ref="B8:I8"/>
    <mergeCell ref="K8:R8"/>
    <mergeCell ref="T8:AA8"/>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
  <sheetViews>
    <sheetView workbookViewId="0">
      <selection activeCell="B12" sqref="B12:I12"/>
    </sheetView>
  </sheetViews>
  <sheetFormatPr defaultColWidth="9.140625" defaultRowHeight="15.75" x14ac:dyDescent="0.25"/>
  <cols>
    <col min="1" max="8" width="6.140625" style="21" customWidth="1"/>
    <col min="9" max="9" width="14.42578125" style="21" customWidth="1"/>
    <col min="10" max="16384" width="9.140625" style="21"/>
  </cols>
  <sheetData>
    <row r="1" spans="1:9" x14ac:dyDescent="0.25">
      <c r="A1" s="362" t="s">
        <v>493</v>
      </c>
      <c r="B1" s="362"/>
      <c r="C1" s="362"/>
      <c r="D1" s="362"/>
      <c r="E1" s="362"/>
      <c r="F1" s="362"/>
      <c r="G1" s="362"/>
      <c r="H1" s="362"/>
      <c r="I1" s="362"/>
    </row>
    <row r="2" spans="1:9" x14ac:dyDescent="0.25">
      <c r="A2" s="134">
        <v>128</v>
      </c>
      <c r="B2" s="134">
        <v>64</v>
      </c>
      <c r="C2" s="134">
        <v>32</v>
      </c>
      <c r="D2" s="134">
        <v>16</v>
      </c>
      <c r="E2" s="134">
        <v>8</v>
      </c>
      <c r="F2" s="134">
        <v>4</v>
      </c>
      <c r="G2" s="134">
        <v>2</v>
      </c>
      <c r="H2" s="134">
        <v>1</v>
      </c>
      <c r="I2" s="134" t="s">
        <v>492</v>
      </c>
    </row>
    <row r="3" spans="1:9" x14ac:dyDescent="0.25">
      <c r="A3" s="133">
        <v>1</v>
      </c>
      <c r="B3" s="133">
        <v>0</v>
      </c>
      <c r="C3" s="133">
        <v>0</v>
      </c>
      <c r="D3" s="133">
        <v>0</v>
      </c>
      <c r="E3" s="133">
        <v>0</v>
      </c>
      <c r="F3" s="133">
        <v>0</v>
      </c>
      <c r="G3" s="133">
        <v>0</v>
      </c>
      <c r="H3" s="133">
        <v>0</v>
      </c>
      <c r="I3" s="133">
        <f t="shared" ref="I3:I10" si="0">($A$2*A3) + ($B$2*B3) + ($C$2*C3) + ($D$2*D3) + ($E$2*E3) + ($F$2*F3) + ($G$2*G3) + ($H$2*H3)</f>
        <v>128</v>
      </c>
    </row>
    <row r="4" spans="1:9" x14ac:dyDescent="0.25">
      <c r="A4" s="133">
        <v>1</v>
      </c>
      <c r="B4" s="133">
        <v>1</v>
      </c>
      <c r="C4" s="133">
        <v>0</v>
      </c>
      <c r="D4" s="133">
        <v>0</v>
      </c>
      <c r="E4" s="133">
        <v>0</v>
      </c>
      <c r="F4" s="133">
        <v>0</v>
      </c>
      <c r="G4" s="133">
        <v>0</v>
      </c>
      <c r="H4" s="133">
        <v>0</v>
      </c>
      <c r="I4" s="133">
        <f t="shared" si="0"/>
        <v>192</v>
      </c>
    </row>
    <row r="5" spans="1:9" x14ac:dyDescent="0.25">
      <c r="A5" s="133">
        <v>1</v>
      </c>
      <c r="B5" s="133">
        <v>1</v>
      </c>
      <c r="C5" s="133">
        <v>1</v>
      </c>
      <c r="D5" s="133">
        <v>0</v>
      </c>
      <c r="E5" s="133">
        <v>0</v>
      </c>
      <c r="F5" s="133">
        <v>0</v>
      </c>
      <c r="G5" s="133">
        <v>0</v>
      </c>
      <c r="H5" s="133">
        <v>0</v>
      </c>
      <c r="I5" s="133">
        <f t="shared" si="0"/>
        <v>224</v>
      </c>
    </row>
    <row r="6" spans="1:9" x14ac:dyDescent="0.25">
      <c r="A6" s="133">
        <v>1</v>
      </c>
      <c r="B6" s="133">
        <v>1</v>
      </c>
      <c r="C6" s="133">
        <v>1</v>
      </c>
      <c r="D6" s="133">
        <v>1</v>
      </c>
      <c r="E6" s="133">
        <v>0</v>
      </c>
      <c r="F6" s="133">
        <v>0</v>
      </c>
      <c r="G6" s="133">
        <v>0</v>
      </c>
      <c r="H6" s="133">
        <v>0</v>
      </c>
      <c r="I6" s="133">
        <f t="shared" si="0"/>
        <v>240</v>
      </c>
    </row>
    <row r="7" spans="1:9" x14ac:dyDescent="0.25">
      <c r="A7" s="133">
        <v>1</v>
      </c>
      <c r="B7" s="133">
        <v>1</v>
      </c>
      <c r="C7" s="133">
        <v>1</v>
      </c>
      <c r="D7" s="133">
        <v>1</v>
      </c>
      <c r="E7" s="133">
        <v>1</v>
      </c>
      <c r="F7" s="133">
        <v>0</v>
      </c>
      <c r="G7" s="133">
        <v>0</v>
      </c>
      <c r="H7" s="133">
        <v>0</v>
      </c>
      <c r="I7" s="133">
        <f t="shared" si="0"/>
        <v>248</v>
      </c>
    </row>
    <row r="8" spans="1:9" x14ac:dyDescent="0.25">
      <c r="A8" s="133">
        <v>1</v>
      </c>
      <c r="B8" s="133">
        <v>1</v>
      </c>
      <c r="C8" s="133">
        <v>1</v>
      </c>
      <c r="D8" s="133">
        <v>1</v>
      </c>
      <c r="E8" s="133">
        <v>1</v>
      </c>
      <c r="F8" s="133">
        <v>1</v>
      </c>
      <c r="G8" s="133">
        <v>0</v>
      </c>
      <c r="H8" s="133">
        <v>0</v>
      </c>
      <c r="I8" s="133">
        <f t="shared" si="0"/>
        <v>252</v>
      </c>
    </row>
    <row r="9" spans="1:9" x14ac:dyDescent="0.25">
      <c r="A9" s="133">
        <v>1</v>
      </c>
      <c r="B9" s="133">
        <v>1</v>
      </c>
      <c r="C9" s="133">
        <v>1</v>
      </c>
      <c r="D9" s="133">
        <v>1</v>
      </c>
      <c r="E9" s="133">
        <v>1</v>
      </c>
      <c r="F9" s="133">
        <v>1</v>
      </c>
      <c r="G9" s="133">
        <v>1</v>
      </c>
      <c r="H9" s="133">
        <v>0</v>
      </c>
      <c r="I9" s="133">
        <f t="shared" si="0"/>
        <v>254</v>
      </c>
    </row>
    <row r="10" spans="1:9" x14ac:dyDescent="0.25">
      <c r="A10" s="133">
        <v>1</v>
      </c>
      <c r="B10" s="133">
        <v>1</v>
      </c>
      <c r="C10" s="133">
        <v>1</v>
      </c>
      <c r="D10" s="133">
        <v>1</v>
      </c>
      <c r="E10" s="133">
        <v>1</v>
      </c>
      <c r="F10" s="133">
        <v>1</v>
      </c>
      <c r="G10" s="133">
        <v>1</v>
      </c>
      <c r="H10" s="133">
        <v>1</v>
      </c>
      <c r="I10" s="133">
        <f t="shared" si="0"/>
        <v>255</v>
      </c>
    </row>
  </sheetData>
  <mergeCells count="1">
    <mergeCell ref="A1:I1"/>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V26"/>
  <sheetViews>
    <sheetView topLeftCell="A4" workbookViewId="0">
      <selection sqref="A1:XFD1048576"/>
    </sheetView>
  </sheetViews>
  <sheetFormatPr defaultRowHeight="15" x14ac:dyDescent="0.25"/>
  <cols>
    <col min="2" max="10" width="6.42578125" style="92" customWidth="1"/>
    <col min="11" max="12" width="6.42578125" customWidth="1"/>
    <col min="13" max="21" width="5.85546875" customWidth="1"/>
    <col min="22" max="22" width="16.5703125" style="91" customWidth="1"/>
  </cols>
  <sheetData>
    <row r="3" spans="2:22" ht="36" customHeight="1" thickBot="1" x14ac:dyDescent="0.3">
      <c r="M3" s="92"/>
      <c r="N3" s="92"/>
      <c r="O3" s="92"/>
      <c r="P3" s="92"/>
      <c r="Q3" s="92"/>
      <c r="R3" s="92"/>
      <c r="S3" s="92"/>
      <c r="T3" s="92"/>
      <c r="U3" s="92"/>
    </row>
    <row r="4" spans="2:22" ht="28.5" customHeight="1" x14ac:dyDescent="0.25">
      <c r="B4" s="107"/>
      <c r="C4" s="106"/>
      <c r="D4" s="105"/>
      <c r="E4" s="110"/>
      <c r="F4" s="109"/>
      <c r="G4" s="108"/>
      <c r="H4" s="107"/>
      <c r="I4" s="106"/>
      <c r="J4" s="105"/>
      <c r="M4" s="107"/>
      <c r="N4" s="106"/>
      <c r="O4" s="105"/>
      <c r="P4" s="110"/>
      <c r="Q4" s="109"/>
      <c r="R4" s="108"/>
      <c r="S4" s="107"/>
      <c r="T4" s="106"/>
      <c r="U4" s="105"/>
      <c r="V4" s="116"/>
    </row>
    <row r="5" spans="2:22" ht="28.5" customHeight="1" x14ac:dyDescent="0.25">
      <c r="B5" s="101"/>
      <c r="C5" s="100"/>
      <c r="D5" s="99"/>
      <c r="E5" s="104"/>
      <c r="F5" s="103"/>
      <c r="G5" s="102"/>
      <c r="H5" s="101"/>
      <c r="I5" s="100"/>
      <c r="J5" s="99"/>
      <c r="M5" s="101"/>
      <c r="N5" s="100"/>
      <c r="O5" s="99"/>
      <c r="P5" s="104"/>
      <c r="Q5" s="103"/>
      <c r="R5" s="102"/>
      <c r="S5" s="101"/>
      <c r="T5" s="100"/>
      <c r="U5" s="99"/>
      <c r="V5" s="116"/>
    </row>
    <row r="6" spans="2:22" ht="28.5" customHeight="1" thickBot="1" x14ac:dyDescent="0.3">
      <c r="B6" s="95"/>
      <c r="C6" s="94"/>
      <c r="D6" s="93"/>
      <c r="E6" s="98"/>
      <c r="F6" s="97"/>
      <c r="G6" s="96"/>
      <c r="H6" s="95"/>
      <c r="I6" s="94"/>
      <c r="J6" s="93"/>
      <c r="M6" s="95"/>
      <c r="N6" s="94"/>
      <c r="O6" s="93"/>
      <c r="P6" s="98"/>
      <c r="Q6" s="97"/>
      <c r="R6" s="96"/>
      <c r="S6" s="95"/>
      <c r="T6" s="94"/>
      <c r="U6" s="93"/>
      <c r="V6" s="116"/>
    </row>
    <row r="7" spans="2:22" ht="28.5" customHeight="1" x14ac:dyDescent="0.25">
      <c r="B7" s="110"/>
      <c r="C7" s="109"/>
      <c r="D7" s="108"/>
      <c r="E7" s="107"/>
      <c r="F7" s="106"/>
      <c r="G7" s="105"/>
      <c r="H7" s="115"/>
      <c r="I7" s="114"/>
      <c r="J7" s="114"/>
      <c r="M7" s="110"/>
      <c r="N7" s="109"/>
      <c r="O7" s="108"/>
      <c r="P7" s="107"/>
      <c r="Q7" s="106"/>
      <c r="R7" s="105"/>
      <c r="S7" s="115"/>
      <c r="T7" s="114"/>
      <c r="U7" s="114"/>
      <c r="V7" s="116"/>
    </row>
    <row r="8" spans="2:22" ht="28.5" customHeight="1" x14ac:dyDescent="0.25">
      <c r="B8" s="104"/>
      <c r="C8" s="103"/>
      <c r="D8" s="102"/>
      <c r="E8" s="101"/>
      <c r="F8" s="100"/>
      <c r="G8" s="99"/>
      <c r="H8" s="113"/>
      <c r="I8" s="103"/>
      <c r="J8" s="103"/>
      <c r="M8" s="104"/>
      <c r="N8" s="103"/>
      <c r="O8" s="102"/>
      <c r="P8" s="101"/>
      <c r="Q8" s="100"/>
      <c r="R8" s="99"/>
      <c r="S8" s="113"/>
      <c r="T8" s="103"/>
      <c r="U8" s="103"/>
      <c r="V8" s="116"/>
    </row>
    <row r="9" spans="2:22" ht="28.5" customHeight="1" thickBot="1" x14ac:dyDescent="0.3">
      <c r="B9" s="98"/>
      <c r="C9" s="97"/>
      <c r="D9" s="96"/>
      <c r="E9" s="95"/>
      <c r="F9" s="94"/>
      <c r="G9" s="93"/>
      <c r="H9" s="112"/>
      <c r="I9" s="111"/>
      <c r="J9" s="111"/>
      <c r="M9" s="98"/>
      <c r="N9" s="97"/>
      <c r="O9" s="96"/>
      <c r="P9" s="95"/>
      <c r="Q9" s="94"/>
      <c r="R9" s="93"/>
      <c r="S9" s="112"/>
      <c r="T9" s="111"/>
      <c r="U9" s="111"/>
      <c r="V9" s="116"/>
    </row>
    <row r="10" spans="2:22" ht="28.5" customHeight="1" x14ac:dyDescent="0.25">
      <c r="B10" s="107"/>
      <c r="C10" s="106"/>
      <c r="D10" s="105"/>
      <c r="E10" s="110"/>
      <c r="F10" s="109"/>
      <c r="G10" s="108"/>
      <c r="H10" s="107"/>
      <c r="I10" s="106"/>
      <c r="J10" s="105"/>
      <c r="M10" s="107"/>
      <c r="N10" s="106"/>
      <c r="O10" s="105"/>
      <c r="P10" s="110"/>
      <c r="Q10" s="109"/>
      <c r="R10" s="108"/>
      <c r="S10" s="107"/>
      <c r="T10" s="106"/>
      <c r="U10" s="105"/>
      <c r="V10" s="116"/>
    </row>
    <row r="11" spans="2:22" ht="28.5" customHeight="1" x14ac:dyDescent="0.25">
      <c r="B11" s="101"/>
      <c r="C11" s="100"/>
      <c r="D11" s="99"/>
      <c r="E11" s="104"/>
      <c r="F11" s="103"/>
      <c r="G11" s="102"/>
      <c r="H11" s="101"/>
      <c r="I11" s="100"/>
      <c r="J11" s="99"/>
      <c r="M11" s="101"/>
      <c r="N11" s="100"/>
      <c r="O11" s="99"/>
      <c r="P11" s="104"/>
      <c r="Q11" s="103"/>
      <c r="R11" s="102"/>
      <c r="S11" s="101"/>
      <c r="T11" s="100"/>
      <c r="U11" s="99"/>
      <c r="V11" s="116"/>
    </row>
    <row r="12" spans="2:22" ht="28.5" customHeight="1" thickBot="1" x14ac:dyDescent="0.3">
      <c r="B12" s="95"/>
      <c r="C12" s="94"/>
      <c r="D12" s="93"/>
      <c r="E12" s="98"/>
      <c r="F12" s="97"/>
      <c r="G12" s="96"/>
      <c r="H12" s="95"/>
      <c r="I12" s="94"/>
      <c r="J12" s="93"/>
      <c r="M12" s="95"/>
      <c r="N12" s="94"/>
      <c r="O12" s="93"/>
      <c r="P12" s="98"/>
      <c r="Q12" s="97"/>
      <c r="R12" s="96"/>
      <c r="S12" s="95"/>
      <c r="T12" s="94"/>
      <c r="U12" s="93"/>
      <c r="V12" s="116"/>
    </row>
    <row r="13" spans="2:22" ht="32.25" customHeight="1" x14ac:dyDescent="0.25">
      <c r="M13" s="92"/>
      <c r="N13" s="92"/>
      <c r="O13" s="92"/>
      <c r="P13" s="92"/>
      <c r="Q13" s="92"/>
      <c r="R13" s="92"/>
      <c r="S13" s="92"/>
      <c r="T13" s="92"/>
      <c r="U13" s="92"/>
    </row>
    <row r="15" spans="2:22" ht="15.75" thickBot="1" x14ac:dyDescent="0.3"/>
    <row r="16" spans="2:22" ht="29.25" customHeight="1" x14ac:dyDescent="0.25">
      <c r="B16" s="107"/>
      <c r="C16" s="106"/>
      <c r="D16" s="105"/>
      <c r="E16" s="110"/>
      <c r="F16" s="109"/>
      <c r="G16" s="108"/>
      <c r="H16" s="107"/>
      <c r="I16" s="106"/>
      <c r="J16" s="105"/>
      <c r="M16" s="107"/>
      <c r="N16" s="106"/>
      <c r="O16" s="105"/>
      <c r="P16" s="110"/>
      <c r="Q16" s="109"/>
      <c r="R16" s="108"/>
      <c r="S16" s="107"/>
      <c r="T16" s="106"/>
      <c r="U16" s="105"/>
    </row>
    <row r="17" spans="2:21" ht="29.25" customHeight="1" x14ac:dyDescent="0.25">
      <c r="B17" s="101"/>
      <c r="C17" s="100"/>
      <c r="D17" s="99"/>
      <c r="E17" s="104"/>
      <c r="F17" s="103"/>
      <c r="G17" s="102"/>
      <c r="H17" s="101"/>
      <c r="I17" s="100"/>
      <c r="J17" s="99"/>
      <c r="M17" s="101"/>
      <c r="N17" s="100"/>
      <c r="O17" s="99"/>
      <c r="P17" s="104"/>
      <c r="Q17" s="103"/>
      <c r="R17" s="102"/>
      <c r="S17" s="101"/>
      <c r="T17" s="100"/>
      <c r="U17" s="99"/>
    </row>
    <row r="18" spans="2:21" ht="29.25" customHeight="1" thickBot="1" x14ac:dyDescent="0.3">
      <c r="B18" s="95"/>
      <c r="C18" s="94"/>
      <c r="D18" s="93"/>
      <c r="E18" s="98"/>
      <c r="F18" s="97"/>
      <c r="G18" s="96"/>
      <c r="H18" s="95"/>
      <c r="I18" s="94"/>
      <c r="J18" s="93"/>
      <c r="M18" s="95"/>
      <c r="N18" s="94"/>
      <c r="O18" s="93"/>
      <c r="P18" s="98"/>
      <c r="Q18" s="97"/>
      <c r="R18" s="96"/>
      <c r="S18" s="95"/>
      <c r="T18" s="94"/>
      <c r="U18" s="93"/>
    </row>
    <row r="19" spans="2:21" ht="29.25" customHeight="1" x14ac:dyDescent="0.25">
      <c r="B19" s="110"/>
      <c r="C19" s="109"/>
      <c r="D19" s="108"/>
      <c r="E19" s="107"/>
      <c r="F19" s="106"/>
      <c r="G19" s="105"/>
      <c r="H19" s="115"/>
      <c r="I19" s="114"/>
      <c r="J19" s="114"/>
      <c r="M19" s="110"/>
      <c r="N19" s="109"/>
      <c r="O19" s="108"/>
      <c r="P19" s="107"/>
      <c r="Q19" s="106"/>
      <c r="R19" s="105"/>
      <c r="S19" s="115"/>
      <c r="T19" s="114"/>
      <c r="U19" s="114"/>
    </row>
    <row r="20" spans="2:21" ht="29.25" customHeight="1" x14ac:dyDescent="0.25">
      <c r="B20" s="104"/>
      <c r="C20" s="103"/>
      <c r="D20" s="102"/>
      <c r="E20" s="101"/>
      <c r="F20" s="100"/>
      <c r="G20" s="99"/>
      <c r="H20" s="113"/>
      <c r="I20" s="103"/>
      <c r="J20" s="103"/>
      <c r="M20" s="104"/>
      <c r="N20" s="103"/>
      <c r="O20" s="102"/>
      <c r="P20" s="101"/>
      <c r="Q20" s="100"/>
      <c r="R20" s="99"/>
      <c r="S20" s="113"/>
      <c r="T20" s="103"/>
      <c r="U20" s="103"/>
    </row>
    <row r="21" spans="2:21" ht="29.25" customHeight="1" thickBot="1" x14ac:dyDescent="0.3">
      <c r="B21" s="98"/>
      <c r="C21" s="97"/>
      <c r="D21" s="96"/>
      <c r="E21" s="95"/>
      <c r="F21" s="94"/>
      <c r="G21" s="93"/>
      <c r="H21" s="112"/>
      <c r="I21" s="111"/>
      <c r="J21" s="111"/>
      <c r="M21" s="98"/>
      <c r="N21" s="97"/>
      <c r="O21" s="96"/>
      <c r="P21" s="95"/>
      <c r="Q21" s="94"/>
      <c r="R21" s="93"/>
      <c r="S21" s="112"/>
      <c r="T21" s="111"/>
      <c r="U21" s="111"/>
    </row>
    <row r="22" spans="2:21" ht="29.25" customHeight="1" x14ac:dyDescent="0.25">
      <c r="B22" s="107"/>
      <c r="C22" s="106"/>
      <c r="D22" s="105"/>
      <c r="E22" s="110"/>
      <c r="F22" s="109"/>
      <c r="G22" s="108"/>
      <c r="H22" s="107"/>
      <c r="I22" s="106"/>
      <c r="J22" s="105"/>
      <c r="M22" s="107"/>
      <c r="N22" s="106"/>
      <c r="O22" s="105"/>
      <c r="P22" s="110"/>
      <c r="Q22" s="109"/>
      <c r="R22" s="108"/>
      <c r="S22" s="107"/>
      <c r="T22" s="106"/>
      <c r="U22" s="105"/>
    </row>
    <row r="23" spans="2:21" ht="29.25" customHeight="1" x14ac:dyDescent="0.25">
      <c r="B23" s="101"/>
      <c r="C23" s="100"/>
      <c r="D23" s="99"/>
      <c r="E23" s="104"/>
      <c r="F23" s="103"/>
      <c r="G23" s="102"/>
      <c r="H23" s="101"/>
      <c r="I23" s="100"/>
      <c r="J23" s="99"/>
      <c r="M23" s="101"/>
      <c r="N23" s="100"/>
      <c r="O23" s="99"/>
      <c r="P23" s="104"/>
      <c r="Q23" s="103"/>
      <c r="R23" s="102"/>
      <c r="S23" s="101"/>
      <c r="T23" s="100"/>
      <c r="U23" s="99"/>
    </row>
    <row r="24" spans="2:21" ht="29.25" customHeight="1" thickBot="1" x14ac:dyDescent="0.3">
      <c r="B24" s="95"/>
      <c r="C24" s="94"/>
      <c r="D24" s="93"/>
      <c r="E24" s="98"/>
      <c r="F24" s="97"/>
      <c r="G24" s="96"/>
      <c r="H24" s="95"/>
      <c r="I24" s="94"/>
      <c r="J24" s="93"/>
      <c r="M24" s="95"/>
      <c r="N24" s="94"/>
      <c r="O24" s="93"/>
      <c r="P24" s="98"/>
      <c r="Q24" s="97"/>
      <c r="R24" s="96"/>
      <c r="S24" s="95"/>
      <c r="T24" s="94"/>
      <c r="U24" s="93"/>
    </row>
    <row r="25" spans="2:21" ht="29.25" customHeight="1" x14ac:dyDescent="0.25"/>
    <row r="26" spans="2:21" ht="29.25"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149"/>
  <sheetViews>
    <sheetView workbookViewId="0">
      <selection activeCell="B149" sqref="B149"/>
    </sheetView>
  </sheetViews>
  <sheetFormatPr defaultRowHeight="15.75" x14ac:dyDescent="0.25"/>
  <cols>
    <col min="1" max="1" width="18.5703125" style="71" customWidth="1"/>
    <col min="2" max="2" width="64.28515625" style="71" customWidth="1"/>
    <col min="3" max="3" width="13" style="72" customWidth="1"/>
    <col min="4" max="4" width="14" style="72" customWidth="1"/>
    <col min="5" max="5" width="13.28515625" style="72" customWidth="1"/>
    <col min="6" max="6" width="14.7109375" style="72" customWidth="1"/>
    <col min="7" max="16384" width="9.140625" style="71"/>
  </cols>
  <sheetData>
    <row r="1" spans="1:6" x14ac:dyDescent="0.25">
      <c r="A1" s="90" t="s">
        <v>469</v>
      </c>
      <c r="B1" s="89" t="s">
        <v>468</v>
      </c>
      <c r="C1" s="88" t="s">
        <v>467</v>
      </c>
      <c r="D1" s="88" t="s">
        <v>401</v>
      </c>
      <c r="E1" s="88" t="s">
        <v>466</v>
      </c>
      <c r="F1" s="87" t="s">
        <v>465</v>
      </c>
    </row>
    <row r="2" spans="1:6" x14ac:dyDescent="0.25">
      <c r="A2" s="83" t="s">
        <v>464</v>
      </c>
      <c r="B2" s="82" t="s">
        <v>462</v>
      </c>
      <c r="C2" s="81"/>
      <c r="D2" s="81"/>
      <c r="E2" s="80" t="s">
        <v>268</v>
      </c>
      <c r="F2" s="79"/>
    </row>
    <row r="3" spans="1:6" x14ac:dyDescent="0.25">
      <c r="A3" s="83" t="s">
        <v>463</v>
      </c>
      <c r="B3" s="82" t="s">
        <v>462</v>
      </c>
      <c r="C3" s="81"/>
      <c r="D3" s="81"/>
      <c r="E3" s="80" t="s">
        <v>268</v>
      </c>
      <c r="F3" s="79"/>
    </row>
    <row r="4" spans="1:6" x14ac:dyDescent="0.25">
      <c r="A4" s="83" t="s">
        <v>461</v>
      </c>
      <c r="B4" s="82" t="s">
        <v>285</v>
      </c>
      <c r="C4" s="81"/>
      <c r="D4" s="81"/>
      <c r="E4" s="80" t="s">
        <v>268</v>
      </c>
      <c r="F4" s="79"/>
    </row>
    <row r="5" spans="1:6" x14ac:dyDescent="0.25">
      <c r="A5" s="83" t="s">
        <v>460</v>
      </c>
      <c r="B5" s="82" t="s">
        <v>342</v>
      </c>
      <c r="C5" s="80" t="s">
        <v>268</v>
      </c>
      <c r="D5" s="85"/>
      <c r="E5" s="84"/>
      <c r="F5" s="79"/>
    </row>
    <row r="6" spans="1:6" x14ac:dyDescent="0.25">
      <c r="A6" s="83" t="s">
        <v>459</v>
      </c>
      <c r="B6" s="82" t="s">
        <v>342</v>
      </c>
      <c r="C6" s="80" t="s">
        <v>268</v>
      </c>
      <c r="D6" s="85"/>
      <c r="E6" s="84"/>
      <c r="F6" s="79"/>
    </row>
    <row r="7" spans="1:6" x14ac:dyDescent="0.25">
      <c r="A7" s="83" t="s">
        <v>458</v>
      </c>
      <c r="B7" s="82" t="s">
        <v>285</v>
      </c>
      <c r="C7" s="81"/>
      <c r="D7" s="81"/>
      <c r="E7" s="80" t="s">
        <v>268</v>
      </c>
      <c r="F7" s="79"/>
    </row>
    <row r="8" spans="1:6" x14ac:dyDescent="0.25">
      <c r="A8" s="83" t="s">
        <v>457</v>
      </c>
      <c r="B8" s="82" t="s">
        <v>456</v>
      </c>
      <c r="C8" s="84"/>
      <c r="D8" s="80" t="s">
        <v>268</v>
      </c>
      <c r="E8" s="84"/>
      <c r="F8" s="79"/>
    </row>
    <row r="9" spans="1:6" x14ac:dyDescent="0.25">
      <c r="A9" s="83" t="s">
        <v>455</v>
      </c>
      <c r="B9" s="82" t="s">
        <v>454</v>
      </c>
      <c r="C9" s="85"/>
      <c r="D9" s="85"/>
      <c r="E9" s="84"/>
      <c r="F9" s="79"/>
    </row>
    <row r="10" spans="1:6" x14ac:dyDescent="0.25">
      <c r="A10" s="83" t="s">
        <v>453</v>
      </c>
      <c r="B10" s="82" t="s">
        <v>452</v>
      </c>
      <c r="C10" s="85"/>
      <c r="D10" s="85"/>
      <c r="E10" s="84"/>
      <c r="F10" s="79"/>
    </row>
    <row r="11" spans="1:6" x14ac:dyDescent="0.25">
      <c r="A11" s="83" t="s">
        <v>451</v>
      </c>
      <c r="B11" s="82" t="s">
        <v>285</v>
      </c>
      <c r="C11" s="81"/>
      <c r="D11" s="81"/>
      <c r="E11" s="80" t="s">
        <v>268</v>
      </c>
      <c r="F11" s="79"/>
    </row>
    <row r="12" spans="1:6" x14ac:dyDescent="0.25">
      <c r="A12" s="83" t="s">
        <v>258</v>
      </c>
      <c r="B12" s="82" t="s">
        <v>296</v>
      </c>
      <c r="C12" s="81"/>
      <c r="D12" s="81"/>
      <c r="E12" s="80" t="s">
        <v>268</v>
      </c>
      <c r="F12" s="79"/>
    </row>
    <row r="13" spans="1:6" x14ac:dyDescent="0.25">
      <c r="A13" s="83" t="s">
        <v>450</v>
      </c>
      <c r="B13" s="82" t="s">
        <v>301</v>
      </c>
      <c r="C13" s="85"/>
      <c r="D13" s="85"/>
      <c r="E13" s="84"/>
      <c r="F13" s="79"/>
    </row>
    <row r="14" spans="1:6" x14ac:dyDescent="0.25">
      <c r="A14" s="83" t="s">
        <v>449</v>
      </c>
      <c r="B14" s="82" t="s">
        <v>446</v>
      </c>
      <c r="C14" s="85"/>
      <c r="D14" s="85"/>
      <c r="E14" s="84"/>
      <c r="F14" s="79"/>
    </row>
    <row r="15" spans="1:6" x14ac:dyDescent="0.25">
      <c r="A15" s="83" t="s">
        <v>448</v>
      </c>
      <c r="B15" s="82" t="s">
        <v>301</v>
      </c>
      <c r="C15" s="85"/>
      <c r="D15" s="85"/>
      <c r="E15" s="84"/>
      <c r="F15" s="79"/>
    </row>
    <row r="16" spans="1:6" x14ac:dyDescent="0.25">
      <c r="A16" s="83" t="s">
        <v>447</v>
      </c>
      <c r="B16" s="82" t="s">
        <v>446</v>
      </c>
      <c r="C16" s="85"/>
      <c r="D16" s="85"/>
      <c r="E16" s="84"/>
      <c r="F16" s="79"/>
    </row>
    <row r="17" spans="1:6" x14ac:dyDescent="0.25">
      <c r="A17" s="83" t="s">
        <v>445</v>
      </c>
      <c r="B17" s="82" t="s">
        <v>275</v>
      </c>
      <c r="C17" s="81"/>
      <c r="D17" s="81"/>
      <c r="E17" s="80" t="s">
        <v>268</v>
      </c>
      <c r="F17" s="79"/>
    </row>
    <row r="18" spans="1:6" x14ac:dyDescent="0.25">
      <c r="A18" s="83" t="s">
        <v>444</v>
      </c>
      <c r="B18" s="82" t="s">
        <v>313</v>
      </c>
      <c r="C18" s="85"/>
      <c r="D18" s="85"/>
      <c r="E18" s="84"/>
      <c r="F18" s="86" t="s">
        <v>268</v>
      </c>
    </row>
    <row r="19" spans="1:6" x14ac:dyDescent="0.25">
      <c r="A19" s="83" t="s">
        <v>443</v>
      </c>
      <c r="B19" s="82" t="s">
        <v>275</v>
      </c>
      <c r="C19" s="81"/>
      <c r="D19" s="81"/>
      <c r="E19" s="80" t="s">
        <v>268</v>
      </c>
      <c r="F19" s="79"/>
    </row>
    <row r="20" spans="1:6" x14ac:dyDescent="0.25">
      <c r="A20" s="83" t="s">
        <v>442</v>
      </c>
      <c r="B20" s="82" t="s">
        <v>426</v>
      </c>
      <c r="C20" s="84"/>
      <c r="D20" s="80" t="s">
        <v>268</v>
      </c>
      <c r="E20" s="84"/>
      <c r="F20" s="79"/>
    </row>
    <row r="21" spans="1:6" x14ac:dyDescent="0.25">
      <c r="A21" s="83" t="s">
        <v>441</v>
      </c>
      <c r="B21" s="82" t="s">
        <v>426</v>
      </c>
      <c r="C21" s="84"/>
      <c r="D21" s="80" t="s">
        <v>268</v>
      </c>
      <c r="E21" s="84"/>
      <c r="F21" s="79"/>
    </row>
    <row r="22" spans="1:6" x14ac:dyDescent="0.25">
      <c r="A22" s="83" t="s">
        <v>440</v>
      </c>
      <c r="B22" s="82" t="s">
        <v>426</v>
      </c>
      <c r="C22" s="84"/>
      <c r="D22" s="80" t="s">
        <v>268</v>
      </c>
      <c r="E22" s="84"/>
      <c r="F22" s="79"/>
    </row>
    <row r="23" spans="1:6" x14ac:dyDescent="0.25">
      <c r="A23" s="83" t="s">
        <v>439</v>
      </c>
      <c r="B23" s="82" t="s">
        <v>426</v>
      </c>
      <c r="C23" s="84"/>
      <c r="D23" s="80" t="s">
        <v>268</v>
      </c>
      <c r="E23" s="84"/>
      <c r="F23" s="79"/>
    </row>
    <row r="24" spans="1:6" x14ac:dyDescent="0.25">
      <c r="A24" s="83" t="s">
        <v>438</v>
      </c>
      <c r="B24" s="82" t="s">
        <v>426</v>
      </c>
      <c r="C24" s="84"/>
      <c r="D24" s="80" t="s">
        <v>268</v>
      </c>
      <c r="E24" s="84"/>
      <c r="F24" s="79"/>
    </row>
    <row r="25" spans="1:6" x14ac:dyDescent="0.25">
      <c r="A25" s="83" t="s">
        <v>437</v>
      </c>
      <c r="B25" s="82" t="s">
        <v>426</v>
      </c>
      <c r="C25" s="84"/>
      <c r="D25" s="80" t="s">
        <v>268</v>
      </c>
      <c r="E25" s="84"/>
      <c r="F25" s="79"/>
    </row>
    <row r="26" spans="1:6" x14ac:dyDescent="0.25">
      <c r="A26" s="83" t="s">
        <v>436</v>
      </c>
      <c r="B26" s="82" t="s">
        <v>301</v>
      </c>
      <c r="C26" s="85"/>
      <c r="D26" s="85"/>
      <c r="E26" s="84"/>
      <c r="F26" s="79"/>
    </row>
    <row r="27" spans="1:6" x14ac:dyDescent="0.25">
      <c r="A27" s="83" t="s">
        <v>435</v>
      </c>
      <c r="B27" s="82" t="s">
        <v>426</v>
      </c>
      <c r="C27" s="84"/>
      <c r="D27" s="80" t="s">
        <v>268</v>
      </c>
      <c r="E27" s="84"/>
      <c r="F27" s="79"/>
    </row>
    <row r="28" spans="1:6" x14ac:dyDescent="0.25">
      <c r="A28" s="83" t="s">
        <v>434</v>
      </c>
      <c r="B28" s="82" t="s">
        <v>275</v>
      </c>
      <c r="C28" s="81"/>
      <c r="D28" s="81"/>
      <c r="E28" s="80" t="s">
        <v>268</v>
      </c>
      <c r="F28" s="79"/>
    </row>
    <row r="29" spans="1:6" x14ac:dyDescent="0.25">
      <c r="A29" s="83" t="s">
        <v>433</v>
      </c>
      <c r="B29" s="82" t="s">
        <v>426</v>
      </c>
      <c r="C29" s="84"/>
      <c r="D29" s="80" t="s">
        <v>268</v>
      </c>
      <c r="E29" s="84"/>
      <c r="F29" s="79"/>
    </row>
    <row r="30" spans="1:6" x14ac:dyDescent="0.25">
      <c r="A30" s="83" t="s">
        <v>432</v>
      </c>
      <c r="B30" s="82" t="s">
        <v>426</v>
      </c>
      <c r="C30" s="84"/>
      <c r="D30" s="80" t="s">
        <v>268</v>
      </c>
      <c r="E30" s="84"/>
      <c r="F30" s="79"/>
    </row>
    <row r="31" spans="1:6" x14ac:dyDescent="0.25">
      <c r="A31" s="83" t="s">
        <v>431</v>
      </c>
      <c r="B31" s="82" t="s">
        <v>296</v>
      </c>
      <c r="C31" s="81"/>
      <c r="D31" s="81"/>
      <c r="E31" s="80" t="s">
        <v>268</v>
      </c>
      <c r="F31" s="79"/>
    </row>
    <row r="32" spans="1:6" x14ac:dyDescent="0.25">
      <c r="A32" s="83" t="s">
        <v>430</v>
      </c>
      <c r="B32" s="82" t="s">
        <v>426</v>
      </c>
      <c r="C32" s="84"/>
      <c r="D32" s="80" t="s">
        <v>268</v>
      </c>
      <c r="E32" s="84"/>
      <c r="F32" s="79"/>
    </row>
    <row r="33" spans="1:6" x14ac:dyDescent="0.25">
      <c r="A33" s="83" t="s">
        <v>429</v>
      </c>
      <c r="B33" s="82" t="s">
        <v>426</v>
      </c>
      <c r="C33" s="84"/>
      <c r="D33" s="80" t="s">
        <v>268</v>
      </c>
      <c r="E33" s="84"/>
      <c r="F33" s="79"/>
    </row>
    <row r="34" spans="1:6" x14ac:dyDescent="0.25">
      <c r="A34" s="83" t="s">
        <v>428</v>
      </c>
      <c r="B34" s="82" t="s">
        <v>426</v>
      </c>
      <c r="C34" s="84"/>
      <c r="D34" s="80" t="s">
        <v>268</v>
      </c>
      <c r="E34" s="84"/>
      <c r="F34" s="79"/>
    </row>
    <row r="35" spans="1:6" x14ac:dyDescent="0.25">
      <c r="A35" s="83" t="s">
        <v>427</v>
      </c>
      <c r="B35" s="82" t="s">
        <v>426</v>
      </c>
      <c r="C35" s="84"/>
      <c r="D35" s="80" t="s">
        <v>268</v>
      </c>
      <c r="E35" s="84"/>
      <c r="F35" s="79"/>
    </row>
    <row r="36" spans="1:6" x14ac:dyDescent="0.25">
      <c r="A36" s="83" t="s">
        <v>425</v>
      </c>
      <c r="B36" s="82" t="s">
        <v>301</v>
      </c>
      <c r="C36" s="85"/>
      <c r="D36" s="85"/>
      <c r="E36" s="84"/>
      <c r="F36" s="79"/>
    </row>
    <row r="37" spans="1:6" x14ac:dyDescent="0.25">
      <c r="A37" s="83" t="s">
        <v>259</v>
      </c>
      <c r="B37" s="82" t="s">
        <v>301</v>
      </c>
      <c r="C37" s="85"/>
      <c r="D37" s="85"/>
      <c r="E37" s="84"/>
      <c r="F37" s="79"/>
    </row>
    <row r="38" spans="1:6" x14ac:dyDescent="0.25">
      <c r="A38" s="83" t="s">
        <v>424</v>
      </c>
      <c r="B38" s="82" t="s">
        <v>275</v>
      </c>
      <c r="C38" s="81"/>
      <c r="D38" s="81"/>
      <c r="E38" s="80" t="s">
        <v>268</v>
      </c>
      <c r="F38" s="79"/>
    </row>
    <row r="39" spans="1:6" x14ac:dyDescent="0.25">
      <c r="A39" s="83" t="s">
        <v>423</v>
      </c>
      <c r="B39" s="82" t="s">
        <v>271</v>
      </c>
      <c r="C39" s="81"/>
      <c r="D39" s="81"/>
      <c r="E39" s="80" t="s">
        <v>268</v>
      </c>
      <c r="F39" s="79"/>
    </row>
    <row r="40" spans="1:6" x14ac:dyDescent="0.25">
      <c r="A40" s="83" t="s">
        <v>422</v>
      </c>
      <c r="B40" s="82" t="s">
        <v>275</v>
      </c>
      <c r="C40" s="81"/>
      <c r="D40" s="81"/>
      <c r="E40" s="80" t="s">
        <v>268</v>
      </c>
      <c r="F40" s="79"/>
    </row>
    <row r="41" spans="1:6" x14ac:dyDescent="0.25">
      <c r="A41" s="83" t="s">
        <v>421</v>
      </c>
      <c r="B41" s="82" t="s">
        <v>305</v>
      </c>
      <c r="C41" s="81"/>
      <c r="D41" s="81"/>
      <c r="E41" s="80" t="s">
        <v>268</v>
      </c>
      <c r="F41" s="79"/>
    </row>
    <row r="42" spans="1:6" x14ac:dyDescent="0.25">
      <c r="A42" s="83" t="s">
        <v>420</v>
      </c>
      <c r="B42" s="82" t="s">
        <v>275</v>
      </c>
      <c r="C42" s="81"/>
      <c r="D42" s="81"/>
      <c r="E42" s="80" t="s">
        <v>268</v>
      </c>
      <c r="F42" s="79"/>
    </row>
    <row r="43" spans="1:6" x14ac:dyDescent="0.25">
      <c r="A43" s="83" t="s">
        <v>419</v>
      </c>
      <c r="B43" s="82" t="s">
        <v>301</v>
      </c>
      <c r="C43" s="85"/>
      <c r="D43" s="85"/>
      <c r="E43" s="84"/>
      <c r="F43" s="79"/>
    </row>
    <row r="44" spans="1:6" x14ac:dyDescent="0.25">
      <c r="A44" s="83" t="s">
        <v>418</v>
      </c>
      <c r="B44" s="82" t="s">
        <v>389</v>
      </c>
      <c r="C44" s="85"/>
      <c r="D44" s="85"/>
      <c r="E44" s="84"/>
      <c r="F44" s="86" t="s">
        <v>268</v>
      </c>
    </row>
    <row r="45" spans="1:6" x14ac:dyDescent="0.25">
      <c r="A45" s="83" t="s">
        <v>417</v>
      </c>
      <c r="B45" s="82" t="s">
        <v>412</v>
      </c>
      <c r="C45" s="85"/>
      <c r="D45" s="85"/>
      <c r="E45" s="84"/>
      <c r="F45" s="86" t="s">
        <v>268</v>
      </c>
    </row>
    <row r="46" spans="1:6" x14ac:dyDescent="0.25">
      <c r="A46" s="83" t="s">
        <v>416</v>
      </c>
      <c r="B46" s="82" t="s">
        <v>412</v>
      </c>
      <c r="C46" s="85"/>
      <c r="D46" s="85"/>
      <c r="E46" s="84"/>
      <c r="F46" s="86" t="s">
        <v>268</v>
      </c>
    </row>
    <row r="47" spans="1:6" x14ac:dyDescent="0.25">
      <c r="A47" s="83" t="s">
        <v>415</v>
      </c>
      <c r="B47" s="82" t="s">
        <v>414</v>
      </c>
      <c r="C47" s="81"/>
      <c r="D47" s="81"/>
      <c r="E47" s="80" t="s">
        <v>268</v>
      </c>
      <c r="F47" s="79"/>
    </row>
    <row r="48" spans="1:6" x14ac:dyDescent="0.25">
      <c r="A48" s="83" t="s">
        <v>413</v>
      </c>
      <c r="B48" s="82" t="s">
        <v>412</v>
      </c>
      <c r="C48" s="85"/>
      <c r="D48" s="85"/>
      <c r="E48" s="84"/>
      <c r="F48" s="86" t="s">
        <v>268</v>
      </c>
    </row>
    <row r="49" spans="1:6" x14ac:dyDescent="0.25">
      <c r="A49" s="83" t="s">
        <v>411</v>
      </c>
      <c r="B49" s="82" t="s">
        <v>275</v>
      </c>
      <c r="C49" s="81"/>
      <c r="D49" s="81"/>
      <c r="E49" s="80" t="s">
        <v>268</v>
      </c>
      <c r="F49" s="79"/>
    </row>
    <row r="50" spans="1:6" x14ac:dyDescent="0.25">
      <c r="A50" s="83" t="s">
        <v>410</v>
      </c>
      <c r="B50" s="82" t="s">
        <v>275</v>
      </c>
      <c r="C50" s="81"/>
      <c r="D50" s="81"/>
      <c r="E50" s="80" t="s">
        <v>268</v>
      </c>
      <c r="F50" s="79"/>
    </row>
    <row r="51" spans="1:6" x14ac:dyDescent="0.25">
      <c r="A51" s="83" t="s">
        <v>409</v>
      </c>
      <c r="B51" s="82" t="s">
        <v>408</v>
      </c>
      <c r="C51" s="81"/>
      <c r="D51" s="81"/>
      <c r="E51" s="80" t="s">
        <v>268</v>
      </c>
      <c r="F51" s="79"/>
    </row>
    <row r="52" spans="1:6" x14ac:dyDescent="0.25">
      <c r="A52" s="83" t="s">
        <v>407</v>
      </c>
      <c r="B52" s="82" t="s">
        <v>275</v>
      </c>
      <c r="C52" s="81"/>
      <c r="D52" s="81"/>
      <c r="E52" s="80" t="s">
        <v>268</v>
      </c>
      <c r="F52" s="79"/>
    </row>
    <row r="53" spans="1:6" x14ac:dyDescent="0.25">
      <c r="A53" s="83" t="s">
        <v>406</v>
      </c>
      <c r="B53" s="82" t="s">
        <v>405</v>
      </c>
      <c r="C53" s="81"/>
      <c r="D53" s="81"/>
      <c r="E53" s="80" t="s">
        <v>268</v>
      </c>
      <c r="F53" s="79"/>
    </row>
    <row r="54" spans="1:6" x14ac:dyDescent="0.25">
      <c r="A54" s="83" t="b">
        <v>0</v>
      </c>
      <c r="B54" s="82" t="s">
        <v>290</v>
      </c>
      <c r="C54" s="85"/>
      <c r="D54" s="85"/>
      <c r="E54" s="84"/>
      <c r="F54" s="79"/>
    </row>
    <row r="55" spans="1:6" x14ac:dyDescent="0.25">
      <c r="A55" s="83" t="s">
        <v>403</v>
      </c>
      <c r="B55" s="82" t="s">
        <v>358</v>
      </c>
      <c r="C55" s="85"/>
      <c r="D55" s="85"/>
      <c r="E55" s="84"/>
      <c r="F55" s="86" t="s">
        <v>268</v>
      </c>
    </row>
    <row r="56" spans="1:6" x14ac:dyDescent="0.25">
      <c r="A56" s="83" t="s">
        <v>404</v>
      </c>
      <c r="B56" s="82" t="s">
        <v>275</v>
      </c>
      <c r="C56" s="81"/>
      <c r="D56" s="81"/>
      <c r="E56" s="80" t="s">
        <v>268</v>
      </c>
      <c r="F56" s="79"/>
    </row>
    <row r="57" spans="1:6" x14ac:dyDescent="0.25">
      <c r="A57" s="83" t="s">
        <v>403</v>
      </c>
      <c r="B57" s="82" t="s">
        <v>275</v>
      </c>
      <c r="C57" s="81"/>
      <c r="D57" s="81"/>
      <c r="E57" s="80" t="s">
        <v>268</v>
      </c>
      <c r="F57" s="86" t="s">
        <v>268</v>
      </c>
    </row>
    <row r="58" spans="1:6" x14ac:dyDescent="0.25">
      <c r="A58" s="83" t="s">
        <v>402</v>
      </c>
      <c r="B58" s="82" t="s">
        <v>328</v>
      </c>
      <c r="C58" s="81"/>
      <c r="D58" s="81"/>
      <c r="E58" s="80" t="s">
        <v>268</v>
      </c>
      <c r="F58" s="79"/>
    </row>
    <row r="59" spans="1:6" x14ac:dyDescent="0.25">
      <c r="A59" s="83" t="s">
        <v>401</v>
      </c>
      <c r="B59" s="82" t="s">
        <v>275</v>
      </c>
      <c r="C59" s="81"/>
      <c r="D59" s="81"/>
      <c r="E59" s="80" t="s">
        <v>268</v>
      </c>
      <c r="F59" s="79"/>
    </row>
    <row r="60" spans="1:6" x14ac:dyDescent="0.25">
      <c r="A60" s="83" t="s">
        <v>400</v>
      </c>
      <c r="B60" s="82" t="s">
        <v>399</v>
      </c>
      <c r="C60" s="85"/>
      <c r="D60" s="85"/>
      <c r="E60" s="84"/>
      <c r="F60" s="86" t="s">
        <v>268</v>
      </c>
    </row>
    <row r="61" spans="1:6" x14ac:dyDescent="0.25">
      <c r="A61" s="83" t="s">
        <v>398</v>
      </c>
      <c r="B61" s="82" t="s">
        <v>370</v>
      </c>
      <c r="C61" s="80" t="s">
        <v>268</v>
      </c>
      <c r="D61" s="85"/>
      <c r="E61" s="84"/>
      <c r="F61" s="79"/>
    </row>
    <row r="62" spans="1:6" x14ac:dyDescent="0.25">
      <c r="A62" s="83" t="s">
        <v>397</v>
      </c>
      <c r="B62" s="82" t="s">
        <v>396</v>
      </c>
      <c r="C62" s="81"/>
      <c r="D62" s="81"/>
      <c r="E62" s="80" t="s">
        <v>268</v>
      </c>
      <c r="F62" s="79"/>
    </row>
    <row r="63" spans="1:6" x14ac:dyDescent="0.25">
      <c r="A63" s="83" t="s">
        <v>395</v>
      </c>
      <c r="B63" s="82" t="s">
        <v>394</v>
      </c>
      <c r="C63" s="85"/>
      <c r="D63" s="85"/>
      <c r="E63" s="84"/>
      <c r="F63" s="79"/>
    </row>
    <row r="64" spans="1:6" x14ac:dyDescent="0.25">
      <c r="A64" s="83" t="s">
        <v>393</v>
      </c>
      <c r="B64" s="82" t="s">
        <v>275</v>
      </c>
      <c r="C64" s="81"/>
      <c r="D64" s="81"/>
      <c r="E64" s="80" t="s">
        <v>268</v>
      </c>
      <c r="F64" s="86" t="s">
        <v>268</v>
      </c>
    </row>
    <row r="65" spans="1:6" x14ac:dyDescent="0.25">
      <c r="A65" s="83" t="s">
        <v>392</v>
      </c>
      <c r="B65" s="82" t="s">
        <v>275</v>
      </c>
      <c r="C65" s="81"/>
      <c r="D65" s="81"/>
      <c r="E65" s="80" t="s">
        <v>268</v>
      </c>
      <c r="F65" s="79"/>
    </row>
    <row r="66" spans="1:6" x14ac:dyDescent="0.25">
      <c r="A66" s="83" t="s">
        <v>391</v>
      </c>
      <c r="B66" s="82" t="s">
        <v>275</v>
      </c>
      <c r="C66" s="81"/>
      <c r="D66" s="81"/>
      <c r="E66" s="80" t="s">
        <v>268</v>
      </c>
      <c r="F66" s="79"/>
    </row>
    <row r="67" spans="1:6" x14ac:dyDescent="0.25">
      <c r="A67" s="83" t="s">
        <v>390</v>
      </c>
      <c r="B67" s="82" t="s">
        <v>389</v>
      </c>
      <c r="C67" s="85"/>
      <c r="D67" s="85"/>
      <c r="E67" s="84"/>
      <c r="F67" s="86" t="s">
        <v>268</v>
      </c>
    </row>
    <row r="68" spans="1:6" x14ac:dyDescent="0.25">
      <c r="A68" s="83" t="s">
        <v>388</v>
      </c>
      <c r="B68" s="82" t="s">
        <v>275</v>
      </c>
      <c r="C68" s="81"/>
      <c r="D68" s="81"/>
      <c r="E68" s="80" t="s">
        <v>268</v>
      </c>
      <c r="F68" s="79"/>
    </row>
    <row r="69" spans="1:6" x14ac:dyDescent="0.25">
      <c r="A69" s="83" t="s">
        <v>387</v>
      </c>
      <c r="B69" s="82" t="s">
        <v>324</v>
      </c>
      <c r="C69" s="84"/>
      <c r="D69" s="80" t="s">
        <v>268</v>
      </c>
      <c r="E69" s="84"/>
      <c r="F69" s="79"/>
    </row>
    <row r="70" spans="1:6" x14ac:dyDescent="0.25">
      <c r="A70" s="83" t="s">
        <v>386</v>
      </c>
      <c r="B70" s="82" t="s">
        <v>301</v>
      </c>
      <c r="C70" s="85"/>
      <c r="D70" s="85"/>
      <c r="E70" s="84"/>
      <c r="F70" s="79"/>
    </row>
    <row r="71" spans="1:6" x14ac:dyDescent="0.25">
      <c r="A71" s="83" t="s">
        <v>385</v>
      </c>
      <c r="B71" s="82" t="s">
        <v>275</v>
      </c>
      <c r="C71" s="81"/>
      <c r="D71" s="81"/>
      <c r="E71" s="80" t="s">
        <v>268</v>
      </c>
      <c r="F71" s="79"/>
    </row>
    <row r="72" spans="1:6" x14ac:dyDescent="0.25">
      <c r="A72" s="83" t="s">
        <v>384</v>
      </c>
      <c r="B72" s="82" t="s">
        <v>383</v>
      </c>
      <c r="C72" s="80" t="s">
        <v>268</v>
      </c>
      <c r="D72" s="85"/>
      <c r="E72" s="84"/>
      <c r="F72" s="79"/>
    </row>
    <row r="73" spans="1:6" x14ac:dyDescent="0.25">
      <c r="A73" s="83" t="s">
        <v>382</v>
      </c>
      <c r="B73" s="82" t="s">
        <v>281</v>
      </c>
      <c r="C73" s="85"/>
      <c r="D73" s="85"/>
      <c r="E73" s="84"/>
      <c r="F73" s="79"/>
    </row>
    <row r="74" spans="1:6" x14ac:dyDescent="0.25">
      <c r="A74" s="83" t="s">
        <v>381</v>
      </c>
      <c r="B74" s="82" t="s">
        <v>285</v>
      </c>
      <c r="C74" s="81"/>
      <c r="D74" s="81"/>
      <c r="E74" s="80" t="s">
        <v>268</v>
      </c>
      <c r="F74" s="79"/>
    </row>
    <row r="75" spans="1:6" x14ac:dyDescent="0.25">
      <c r="A75" s="83" t="s">
        <v>380</v>
      </c>
      <c r="B75" s="82" t="s">
        <v>370</v>
      </c>
      <c r="C75" s="80" t="s">
        <v>268</v>
      </c>
      <c r="D75" s="85"/>
      <c r="E75" s="84"/>
      <c r="F75" s="79"/>
    </row>
    <row r="76" spans="1:6" x14ac:dyDescent="0.25">
      <c r="A76" s="83" t="s">
        <v>379</v>
      </c>
      <c r="B76" s="82" t="s">
        <v>378</v>
      </c>
      <c r="C76" s="84"/>
      <c r="D76" s="80" t="s">
        <v>268</v>
      </c>
      <c r="E76" s="84"/>
      <c r="F76" s="79"/>
    </row>
    <row r="77" spans="1:6" x14ac:dyDescent="0.25">
      <c r="A77" s="83" t="s">
        <v>377</v>
      </c>
      <c r="B77" s="82" t="s">
        <v>301</v>
      </c>
      <c r="C77" s="85"/>
      <c r="D77" s="85"/>
      <c r="E77" s="84"/>
      <c r="F77" s="79"/>
    </row>
    <row r="78" spans="1:6" x14ac:dyDescent="0.25">
      <c r="A78" s="83" t="s">
        <v>376</v>
      </c>
      <c r="B78" s="82" t="s">
        <v>375</v>
      </c>
      <c r="C78" s="85"/>
      <c r="D78" s="85"/>
      <c r="E78" s="84"/>
      <c r="F78" s="79"/>
    </row>
    <row r="79" spans="1:6" x14ac:dyDescent="0.25">
      <c r="A79" s="83" t="s">
        <v>374</v>
      </c>
      <c r="B79" s="82" t="s">
        <v>363</v>
      </c>
      <c r="C79" s="81"/>
      <c r="D79" s="81"/>
      <c r="E79" s="80" t="s">
        <v>268</v>
      </c>
      <c r="F79" s="79"/>
    </row>
    <row r="80" spans="1:6" x14ac:dyDescent="0.25">
      <c r="A80" s="83" t="s">
        <v>373</v>
      </c>
      <c r="B80" s="82" t="s">
        <v>372</v>
      </c>
      <c r="C80" s="80"/>
      <c r="D80" s="80" t="s">
        <v>268</v>
      </c>
      <c r="E80" s="80" t="s">
        <v>268</v>
      </c>
      <c r="F80" s="79"/>
    </row>
    <row r="81" spans="1:6" x14ac:dyDescent="0.25">
      <c r="A81" s="83" t="s">
        <v>371</v>
      </c>
      <c r="B81" s="82" t="s">
        <v>370</v>
      </c>
      <c r="C81" s="80" t="s">
        <v>268</v>
      </c>
      <c r="D81" s="85"/>
      <c r="E81" s="84"/>
      <c r="F81" s="79"/>
    </row>
    <row r="82" spans="1:6" x14ac:dyDescent="0.25">
      <c r="A82" s="83" t="s">
        <v>369</v>
      </c>
      <c r="B82" s="82" t="s">
        <v>275</v>
      </c>
      <c r="C82" s="81"/>
      <c r="D82" s="81"/>
      <c r="E82" s="80" t="s">
        <v>268</v>
      </c>
      <c r="F82" s="79"/>
    </row>
    <row r="83" spans="1:6" x14ac:dyDescent="0.25">
      <c r="A83" s="83" t="s">
        <v>368</v>
      </c>
      <c r="B83" s="82" t="s">
        <v>352</v>
      </c>
      <c r="C83" s="85"/>
      <c r="D83" s="85"/>
      <c r="E83" s="84"/>
      <c r="F83" s="86" t="s">
        <v>268</v>
      </c>
    </row>
    <row r="84" spans="1:6" x14ac:dyDescent="0.25">
      <c r="A84" s="83" t="s">
        <v>367</v>
      </c>
      <c r="B84" s="82" t="s">
        <v>309</v>
      </c>
      <c r="C84" s="80"/>
      <c r="D84" s="80" t="s">
        <v>268</v>
      </c>
      <c r="E84" s="80" t="s">
        <v>268</v>
      </c>
      <c r="F84" s="79"/>
    </row>
    <row r="85" spans="1:6" x14ac:dyDescent="0.25">
      <c r="A85" s="83" t="s">
        <v>366</v>
      </c>
      <c r="B85" s="82" t="s">
        <v>365</v>
      </c>
      <c r="C85" s="81"/>
      <c r="D85" s="81"/>
      <c r="E85" s="80" t="s">
        <v>268</v>
      </c>
      <c r="F85" s="79"/>
    </row>
    <row r="86" spans="1:6" x14ac:dyDescent="0.25">
      <c r="A86" s="83" t="s">
        <v>364</v>
      </c>
      <c r="B86" s="82" t="s">
        <v>363</v>
      </c>
      <c r="C86" s="81"/>
      <c r="D86" s="81"/>
      <c r="E86" s="80" t="s">
        <v>268</v>
      </c>
      <c r="F86" s="79"/>
    </row>
    <row r="87" spans="1:6" x14ac:dyDescent="0.25">
      <c r="A87" s="83" t="s">
        <v>362</v>
      </c>
      <c r="B87" s="82" t="s">
        <v>275</v>
      </c>
      <c r="C87" s="81"/>
      <c r="D87" s="81"/>
      <c r="E87" s="80" t="s">
        <v>268</v>
      </c>
      <c r="F87" s="79"/>
    </row>
    <row r="88" spans="1:6" x14ac:dyDescent="0.25">
      <c r="A88" s="83" t="s">
        <v>361</v>
      </c>
      <c r="B88" s="82" t="s">
        <v>360</v>
      </c>
      <c r="C88" s="85"/>
      <c r="D88" s="85"/>
      <c r="E88" s="84"/>
      <c r="F88" s="86" t="s">
        <v>268</v>
      </c>
    </row>
    <row r="89" spans="1:6" x14ac:dyDescent="0.25">
      <c r="A89" s="83" t="s">
        <v>359</v>
      </c>
      <c r="B89" s="82" t="s">
        <v>358</v>
      </c>
      <c r="C89" s="85"/>
      <c r="D89" s="85"/>
      <c r="E89" s="84"/>
      <c r="F89" s="86" t="s">
        <v>268</v>
      </c>
    </row>
    <row r="90" spans="1:6" x14ac:dyDescent="0.25">
      <c r="A90" s="83" t="s">
        <v>357</v>
      </c>
      <c r="B90" s="82" t="s">
        <v>356</v>
      </c>
      <c r="C90" s="80" t="s">
        <v>268</v>
      </c>
      <c r="D90" s="85"/>
      <c r="E90" s="84"/>
      <c r="F90" s="79"/>
    </row>
    <row r="91" spans="1:6" x14ac:dyDescent="0.25">
      <c r="A91" s="83" t="s">
        <v>355</v>
      </c>
      <c r="B91" s="82" t="s">
        <v>354</v>
      </c>
      <c r="C91" s="85"/>
      <c r="D91" s="85"/>
      <c r="E91" s="84"/>
      <c r="F91" s="79"/>
    </row>
    <row r="92" spans="1:6" x14ac:dyDescent="0.25">
      <c r="A92" s="83" t="s">
        <v>353</v>
      </c>
      <c r="B92" s="82" t="s">
        <v>352</v>
      </c>
      <c r="C92" s="85"/>
      <c r="D92" s="85"/>
      <c r="E92" s="84"/>
      <c r="F92" s="86" t="s">
        <v>268</v>
      </c>
    </row>
    <row r="93" spans="1:6" x14ac:dyDescent="0.25">
      <c r="A93" s="83" t="s">
        <v>351</v>
      </c>
      <c r="B93" s="82" t="s">
        <v>337</v>
      </c>
      <c r="C93" s="80"/>
      <c r="D93" s="80" t="s">
        <v>268</v>
      </c>
      <c r="E93" s="80" t="s">
        <v>268</v>
      </c>
      <c r="F93" s="79"/>
    </row>
    <row r="94" spans="1:6" x14ac:dyDescent="0.25">
      <c r="A94" s="83" t="s">
        <v>350</v>
      </c>
      <c r="B94" s="82" t="s">
        <v>301</v>
      </c>
      <c r="C94" s="85"/>
      <c r="D94" s="85"/>
      <c r="E94" s="84"/>
      <c r="F94" s="79"/>
    </row>
    <row r="95" spans="1:6" x14ac:dyDescent="0.25">
      <c r="A95" s="83" t="s">
        <v>349</v>
      </c>
      <c r="B95" s="82" t="s">
        <v>346</v>
      </c>
      <c r="C95" s="81"/>
      <c r="D95" s="81"/>
      <c r="E95" s="80" t="s">
        <v>268</v>
      </c>
      <c r="F95" s="79"/>
    </row>
    <row r="96" spans="1:6" x14ac:dyDescent="0.25">
      <c r="A96" s="83" t="s">
        <v>348</v>
      </c>
      <c r="B96" s="82" t="s">
        <v>346</v>
      </c>
      <c r="C96" s="81"/>
      <c r="D96" s="81"/>
      <c r="E96" s="80" t="s">
        <v>268</v>
      </c>
      <c r="F96" s="79"/>
    </row>
    <row r="97" spans="1:6" x14ac:dyDescent="0.25">
      <c r="A97" s="83" t="s">
        <v>347</v>
      </c>
      <c r="B97" s="82" t="s">
        <v>346</v>
      </c>
      <c r="C97" s="81"/>
      <c r="D97" s="81"/>
      <c r="E97" s="80" t="s">
        <v>268</v>
      </c>
      <c r="F97" s="79"/>
    </row>
    <row r="98" spans="1:6" x14ac:dyDescent="0.25">
      <c r="A98" s="83" t="s">
        <v>345</v>
      </c>
      <c r="B98" s="82" t="s">
        <v>335</v>
      </c>
      <c r="C98" s="80"/>
      <c r="D98" s="80" t="s">
        <v>268</v>
      </c>
      <c r="E98" s="80" t="s">
        <v>268</v>
      </c>
      <c r="F98" s="79"/>
    </row>
    <row r="99" spans="1:6" x14ac:dyDescent="0.25">
      <c r="A99" s="83" t="s">
        <v>344</v>
      </c>
      <c r="B99" s="82" t="s">
        <v>342</v>
      </c>
      <c r="C99" s="80" t="s">
        <v>268</v>
      </c>
      <c r="D99" s="85"/>
      <c r="E99" s="84"/>
      <c r="F99" s="79"/>
    </row>
    <row r="100" spans="1:6" x14ac:dyDescent="0.25">
      <c r="A100" s="83" t="s">
        <v>343</v>
      </c>
      <c r="B100" s="82" t="s">
        <v>342</v>
      </c>
      <c r="C100" s="80" t="s">
        <v>268</v>
      </c>
      <c r="D100" s="85"/>
      <c r="E100" s="84"/>
      <c r="F100" s="79"/>
    </row>
    <row r="101" spans="1:6" x14ac:dyDescent="0.25">
      <c r="A101" s="83" t="s">
        <v>341</v>
      </c>
      <c r="B101" s="82" t="s">
        <v>324</v>
      </c>
      <c r="C101" s="84"/>
      <c r="D101" s="80" t="s">
        <v>268</v>
      </c>
      <c r="E101" s="84"/>
      <c r="F101" s="79"/>
    </row>
    <row r="102" spans="1:6" x14ac:dyDescent="0.25">
      <c r="A102" s="83" t="s">
        <v>340</v>
      </c>
      <c r="B102" s="82" t="s">
        <v>309</v>
      </c>
      <c r="C102" s="80"/>
      <c r="D102" s="80" t="s">
        <v>268</v>
      </c>
      <c r="E102" s="80" t="s">
        <v>268</v>
      </c>
      <c r="F102" s="79"/>
    </row>
    <row r="103" spans="1:6" x14ac:dyDescent="0.25">
      <c r="A103" s="83" t="s">
        <v>339</v>
      </c>
      <c r="B103" s="82" t="s">
        <v>309</v>
      </c>
      <c r="C103" s="80"/>
      <c r="D103" s="80" t="s">
        <v>268</v>
      </c>
      <c r="E103" s="80" t="s">
        <v>268</v>
      </c>
      <c r="F103" s="79"/>
    </row>
    <row r="104" spans="1:6" x14ac:dyDescent="0.25">
      <c r="A104" s="83" t="s">
        <v>338</v>
      </c>
      <c r="B104" s="82" t="s">
        <v>337</v>
      </c>
      <c r="C104" s="80"/>
      <c r="D104" s="80" t="s">
        <v>268</v>
      </c>
      <c r="E104" s="80" t="s">
        <v>268</v>
      </c>
      <c r="F104" s="79"/>
    </row>
    <row r="105" spans="1:6" x14ac:dyDescent="0.25">
      <c r="A105" s="83" t="s">
        <v>336</v>
      </c>
      <c r="B105" s="82" t="s">
        <v>335</v>
      </c>
      <c r="C105" s="80"/>
      <c r="D105" s="80" t="s">
        <v>268</v>
      </c>
      <c r="E105" s="80" t="s">
        <v>268</v>
      </c>
      <c r="F105" s="79"/>
    </row>
    <row r="106" spans="1:6" x14ac:dyDescent="0.25">
      <c r="A106" s="83" t="s">
        <v>334</v>
      </c>
      <c r="B106" s="82" t="s">
        <v>333</v>
      </c>
      <c r="C106" s="81"/>
      <c r="D106" s="81"/>
      <c r="E106" s="80" t="s">
        <v>268</v>
      </c>
      <c r="F106" s="79"/>
    </row>
    <row r="107" spans="1:6" x14ac:dyDescent="0.25">
      <c r="A107" s="83" t="s">
        <v>332</v>
      </c>
      <c r="B107" s="82" t="s">
        <v>328</v>
      </c>
      <c r="C107" s="81"/>
      <c r="D107" s="81"/>
      <c r="E107" s="80" t="s">
        <v>268</v>
      </c>
      <c r="F107" s="79"/>
    </row>
    <row r="108" spans="1:6" x14ac:dyDescent="0.25">
      <c r="A108" s="83" t="s">
        <v>331</v>
      </c>
      <c r="B108" s="82" t="s">
        <v>275</v>
      </c>
      <c r="C108" s="81"/>
      <c r="D108" s="81"/>
      <c r="E108" s="80" t="s">
        <v>268</v>
      </c>
      <c r="F108" s="79"/>
    </row>
    <row r="109" spans="1:6" x14ac:dyDescent="0.25">
      <c r="A109" s="83" t="s">
        <v>330</v>
      </c>
      <c r="B109" s="82" t="s">
        <v>328</v>
      </c>
      <c r="C109" s="81"/>
      <c r="D109" s="81"/>
      <c r="E109" s="80" t="s">
        <v>268</v>
      </c>
      <c r="F109" s="79"/>
    </row>
    <row r="110" spans="1:6" x14ac:dyDescent="0.25">
      <c r="A110" s="83" t="s">
        <v>329</v>
      </c>
      <c r="B110" s="82" t="s">
        <v>328</v>
      </c>
      <c r="C110" s="81"/>
      <c r="D110" s="81"/>
      <c r="E110" s="80" t="s">
        <v>268</v>
      </c>
      <c r="F110" s="79"/>
    </row>
    <row r="111" spans="1:6" x14ac:dyDescent="0.25">
      <c r="A111" s="83" t="s">
        <v>327</v>
      </c>
      <c r="B111" s="82" t="s">
        <v>275</v>
      </c>
      <c r="C111" s="81"/>
      <c r="D111" s="81"/>
      <c r="E111" s="80" t="s">
        <v>268</v>
      </c>
      <c r="F111" s="79"/>
    </row>
    <row r="112" spans="1:6" x14ac:dyDescent="0.25">
      <c r="A112" s="83" t="s">
        <v>326</v>
      </c>
      <c r="B112" s="82" t="s">
        <v>324</v>
      </c>
      <c r="C112" s="84"/>
      <c r="D112" s="80" t="s">
        <v>268</v>
      </c>
      <c r="E112" s="84"/>
      <c r="F112" s="79"/>
    </row>
    <row r="113" spans="1:6" x14ac:dyDescent="0.25">
      <c r="A113" s="83" t="s">
        <v>325</v>
      </c>
      <c r="B113" s="82" t="s">
        <v>324</v>
      </c>
      <c r="C113" s="84"/>
      <c r="D113" s="80" t="s">
        <v>268</v>
      </c>
      <c r="E113" s="84"/>
      <c r="F113" s="79"/>
    </row>
    <row r="114" spans="1:6" x14ac:dyDescent="0.25">
      <c r="A114" s="83" t="s">
        <v>323</v>
      </c>
      <c r="B114" s="82" t="s">
        <v>271</v>
      </c>
      <c r="C114" s="81"/>
      <c r="D114" s="81"/>
      <c r="E114" s="80" t="s">
        <v>268</v>
      </c>
      <c r="F114" s="79"/>
    </row>
    <row r="115" spans="1:6" x14ac:dyDescent="0.25">
      <c r="A115" s="83" t="s">
        <v>322</v>
      </c>
      <c r="B115" s="82" t="s">
        <v>275</v>
      </c>
      <c r="C115" s="81"/>
      <c r="D115" s="81"/>
      <c r="E115" s="80" t="s">
        <v>268</v>
      </c>
      <c r="F115" s="79"/>
    </row>
    <row r="116" spans="1:6" x14ac:dyDescent="0.25">
      <c r="A116" s="83" t="s">
        <v>321</v>
      </c>
      <c r="B116" s="82" t="s">
        <v>275</v>
      </c>
      <c r="C116" s="81"/>
      <c r="D116" s="81"/>
      <c r="E116" s="80" t="s">
        <v>268</v>
      </c>
      <c r="F116" s="79"/>
    </row>
    <row r="117" spans="1:6" x14ac:dyDescent="0.25">
      <c r="A117" s="83" t="s">
        <v>320</v>
      </c>
      <c r="B117" s="82" t="s">
        <v>275</v>
      </c>
      <c r="C117" s="81"/>
      <c r="D117" s="81"/>
      <c r="E117" s="80" t="s">
        <v>268</v>
      </c>
      <c r="F117" s="79"/>
    </row>
    <row r="118" spans="1:6" x14ac:dyDescent="0.25">
      <c r="A118" s="83" t="s">
        <v>319</v>
      </c>
      <c r="B118" s="82" t="s">
        <v>318</v>
      </c>
      <c r="C118" s="81"/>
      <c r="D118" s="81"/>
      <c r="E118" s="80" t="s">
        <v>268</v>
      </c>
      <c r="F118" s="79"/>
    </row>
    <row r="119" spans="1:6" x14ac:dyDescent="0.25">
      <c r="A119" s="83" t="s">
        <v>317</v>
      </c>
      <c r="B119" s="82" t="s">
        <v>275</v>
      </c>
      <c r="C119" s="81"/>
      <c r="D119" s="81"/>
      <c r="E119" s="80" t="s">
        <v>268</v>
      </c>
      <c r="F119" s="79"/>
    </row>
    <row r="120" spans="1:6" x14ac:dyDescent="0.25">
      <c r="A120" s="83" t="s">
        <v>316</v>
      </c>
      <c r="B120" s="82" t="s">
        <v>315</v>
      </c>
      <c r="C120" s="80"/>
      <c r="D120" s="80" t="s">
        <v>268</v>
      </c>
      <c r="E120" s="80" t="s">
        <v>268</v>
      </c>
      <c r="F120" s="79"/>
    </row>
    <row r="121" spans="1:6" x14ac:dyDescent="0.25">
      <c r="A121" s="83" t="s">
        <v>314</v>
      </c>
      <c r="B121" s="82" t="s">
        <v>313</v>
      </c>
      <c r="C121" s="85"/>
      <c r="D121" s="85"/>
      <c r="E121" s="84"/>
      <c r="F121" s="86" t="s">
        <v>268</v>
      </c>
    </row>
    <row r="122" spans="1:6" x14ac:dyDescent="0.25">
      <c r="A122" s="83" t="s">
        <v>312</v>
      </c>
      <c r="B122" s="82" t="s">
        <v>271</v>
      </c>
      <c r="C122" s="81"/>
      <c r="D122" s="81"/>
      <c r="E122" s="80" t="s">
        <v>268</v>
      </c>
      <c r="F122" s="79"/>
    </row>
    <row r="123" spans="1:6" x14ac:dyDescent="0.25">
      <c r="A123" s="83" t="s">
        <v>311</v>
      </c>
      <c r="B123" s="82" t="s">
        <v>275</v>
      </c>
      <c r="C123" s="81"/>
      <c r="D123" s="81"/>
      <c r="E123" s="80" t="s">
        <v>268</v>
      </c>
      <c r="F123" s="79"/>
    </row>
    <row r="124" spans="1:6" x14ac:dyDescent="0.25">
      <c r="A124" s="83" t="s">
        <v>310</v>
      </c>
      <c r="B124" s="82" t="s">
        <v>309</v>
      </c>
      <c r="C124" s="80"/>
      <c r="D124" s="80" t="s">
        <v>268</v>
      </c>
      <c r="E124" s="80" t="s">
        <v>268</v>
      </c>
      <c r="F124" s="79"/>
    </row>
    <row r="125" spans="1:6" x14ac:dyDescent="0.25">
      <c r="A125" s="83" t="s">
        <v>308</v>
      </c>
      <c r="B125" s="82" t="s">
        <v>301</v>
      </c>
      <c r="C125" s="85"/>
      <c r="D125" s="85"/>
      <c r="E125" s="84"/>
      <c r="F125" s="79"/>
    </row>
    <row r="126" spans="1:6" x14ac:dyDescent="0.25">
      <c r="A126" s="83" t="s">
        <v>307</v>
      </c>
      <c r="B126" s="82" t="s">
        <v>301</v>
      </c>
      <c r="C126" s="85"/>
      <c r="D126" s="85"/>
      <c r="E126" s="84"/>
      <c r="F126" s="79"/>
    </row>
    <row r="127" spans="1:6" x14ac:dyDescent="0.25">
      <c r="A127" s="83" t="s">
        <v>306</v>
      </c>
      <c r="B127" s="82" t="s">
        <v>305</v>
      </c>
      <c r="C127" s="81"/>
      <c r="D127" s="81"/>
      <c r="E127" s="80" t="s">
        <v>268</v>
      </c>
      <c r="F127" s="79"/>
    </row>
    <row r="128" spans="1:6" x14ac:dyDescent="0.25">
      <c r="A128" s="83" t="s">
        <v>304</v>
      </c>
      <c r="B128" s="82" t="s">
        <v>283</v>
      </c>
      <c r="C128" s="85"/>
      <c r="D128" s="85"/>
      <c r="E128" s="84"/>
      <c r="F128" s="86" t="s">
        <v>268</v>
      </c>
    </row>
    <row r="129" spans="1:6" x14ac:dyDescent="0.25">
      <c r="A129" s="83" t="s">
        <v>303</v>
      </c>
      <c r="B129" s="82" t="s">
        <v>275</v>
      </c>
      <c r="C129" s="81"/>
      <c r="D129" s="81"/>
      <c r="E129" s="80" t="s">
        <v>268</v>
      </c>
      <c r="F129" s="79"/>
    </row>
    <row r="130" spans="1:6" x14ac:dyDescent="0.25">
      <c r="A130" s="83" t="s">
        <v>302</v>
      </c>
      <c r="B130" s="82" t="s">
        <v>301</v>
      </c>
      <c r="C130" s="85"/>
      <c r="D130" s="85"/>
      <c r="E130" s="84"/>
      <c r="F130" s="79"/>
    </row>
    <row r="131" spans="1:6" x14ac:dyDescent="0.25">
      <c r="A131" s="83" t="s">
        <v>300</v>
      </c>
      <c r="B131" s="82" t="s">
        <v>275</v>
      </c>
      <c r="C131" s="81"/>
      <c r="D131" s="81"/>
      <c r="E131" s="80" t="s">
        <v>268</v>
      </c>
      <c r="F131" s="79"/>
    </row>
    <row r="132" spans="1:6" x14ac:dyDescent="0.25">
      <c r="A132" s="83" t="s">
        <v>299</v>
      </c>
      <c r="B132" s="82" t="s">
        <v>275</v>
      </c>
      <c r="C132" s="81"/>
      <c r="D132" s="81"/>
      <c r="E132" s="80" t="s">
        <v>268</v>
      </c>
      <c r="F132" s="79"/>
    </row>
    <row r="133" spans="1:6" x14ac:dyDescent="0.25">
      <c r="A133" s="83" t="s">
        <v>298</v>
      </c>
      <c r="B133" s="82" t="s">
        <v>275</v>
      </c>
      <c r="C133" s="81"/>
      <c r="D133" s="81"/>
      <c r="E133" s="80" t="s">
        <v>268</v>
      </c>
      <c r="F133" s="79"/>
    </row>
    <row r="134" spans="1:6" x14ac:dyDescent="0.25">
      <c r="A134" s="83" t="s">
        <v>297</v>
      </c>
      <c r="B134" s="82" t="s">
        <v>296</v>
      </c>
      <c r="C134" s="81"/>
      <c r="D134" s="81"/>
      <c r="E134" s="80" t="s">
        <v>268</v>
      </c>
      <c r="F134" s="79"/>
    </row>
    <row r="135" spans="1:6" x14ac:dyDescent="0.25">
      <c r="A135" s="83" t="s">
        <v>295</v>
      </c>
      <c r="B135" s="82" t="s">
        <v>294</v>
      </c>
      <c r="C135" s="85"/>
      <c r="D135" s="85"/>
      <c r="E135" s="84"/>
      <c r="F135" s="86" t="s">
        <v>268</v>
      </c>
    </row>
    <row r="136" spans="1:6" x14ac:dyDescent="0.25">
      <c r="A136" s="83" t="s">
        <v>293</v>
      </c>
      <c r="B136" s="82" t="s">
        <v>275</v>
      </c>
      <c r="C136" s="81"/>
      <c r="D136" s="81"/>
      <c r="E136" s="80" t="s">
        <v>268</v>
      </c>
      <c r="F136" s="79"/>
    </row>
    <row r="137" spans="1:6" x14ac:dyDescent="0.25">
      <c r="A137" s="83" t="s">
        <v>292</v>
      </c>
      <c r="B137" s="82" t="s">
        <v>291</v>
      </c>
      <c r="C137" s="85"/>
      <c r="D137" s="85"/>
      <c r="E137" s="84"/>
      <c r="F137" s="86" t="s">
        <v>268</v>
      </c>
    </row>
    <row r="138" spans="1:6" x14ac:dyDescent="0.25">
      <c r="A138" s="83" t="b">
        <v>1</v>
      </c>
      <c r="B138" s="82" t="s">
        <v>290</v>
      </c>
      <c r="C138" s="85"/>
      <c r="D138" s="85"/>
      <c r="E138" s="84"/>
      <c r="F138" s="79"/>
    </row>
    <row r="139" spans="1:6" x14ac:dyDescent="0.25">
      <c r="A139" s="83" t="s">
        <v>289</v>
      </c>
      <c r="B139" s="82" t="s">
        <v>275</v>
      </c>
      <c r="C139" s="81"/>
      <c r="D139" s="81"/>
      <c r="E139" s="80" t="s">
        <v>268</v>
      </c>
      <c r="F139" s="79"/>
    </row>
    <row r="140" spans="1:6" x14ac:dyDescent="0.25">
      <c r="A140" s="83" t="s">
        <v>288</v>
      </c>
      <c r="B140" s="82" t="s">
        <v>287</v>
      </c>
      <c r="C140" s="85"/>
      <c r="D140" s="85"/>
      <c r="E140" s="84"/>
      <c r="F140" s="86" t="s">
        <v>268</v>
      </c>
    </row>
    <row r="141" spans="1:6" x14ac:dyDescent="0.25">
      <c r="A141" s="83" t="s">
        <v>286</v>
      </c>
      <c r="B141" s="82" t="s">
        <v>285</v>
      </c>
      <c r="C141" s="81"/>
      <c r="D141" s="81"/>
      <c r="E141" s="80" t="s">
        <v>268</v>
      </c>
      <c r="F141" s="79"/>
    </row>
    <row r="142" spans="1:6" x14ac:dyDescent="0.25">
      <c r="A142" s="83" t="s">
        <v>284</v>
      </c>
      <c r="B142" s="82" t="s">
        <v>283</v>
      </c>
      <c r="C142" s="85"/>
      <c r="D142" s="85"/>
      <c r="E142" s="84"/>
      <c r="F142" s="86" t="s">
        <v>268</v>
      </c>
    </row>
    <row r="143" spans="1:6" x14ac:dyDescent="0.25">
      <c r="A143" s="83" t="s">
        <v>282</v>
      </c>
      <c r="B143" s="82" t="s">
        <v>281</v>
      </c>
      <c r="C143" s="85"/>
      <c r="D143" s="85"/>
      <c r="E143" s="84"/>
      <c r="F143" s="79"/>
    </row>
    <row r="144" spans="1:6" x14ac:dyDescent="0.25">
      <c r="A144" s="83" t="s">
        <v>280</v>
      </c>
      <c r="B144" s="82" t="s">
        <v>279</v>
      </c>
      <c r="C144" s="85"/>
      <c r="D144" s="85"/>
      <c r="E144" s="84"/>
      <c r="F144" s="86" t="s">
        <v>268</v>
      </c>
    </row>
    <row r="145" spans="1:6" x14ac:dyDescent="0.25">
      <c r="A145" s="83" t="s">
        <v>278</v>
      </c>
      <c r="B145" s="82" t="s">
        <v>277</v>
      </c>
      <c r="C145" s="85"/>
      <c r="D145" s="85"/>
      <c r="E145" s="84"/>
      <c r="F145" s="86" t="s">
        <v>268</v>
      </c>
    </row>
    <row r="146" spans="1:6" x14ac:dyDescent="0.25">
      <c r="A146" s="83" t="s">
        <v>276</v>
      </c>
      <c r="B146" s="82" t="s">
        <v>275</v>
      </c>
      <c r="C146" s="81"/>
      <c r="D146" s="81"/>
      <c r="E146" s="80" t="s">
        <v>268</v>
      </c>
      <c r="F146" s="86" t="s">
        <v>268</v>
      </c>
    </row>
    <row r="147" spans="1:6" x14ac:dyDescent="0.25">
      <c r="A147" s="83" t="s">
        <v>274</v>
      </c>
      <c r="B147" s="82" t="s">
        <v>273</v>
      </c>
      <c r="C147" s="85"/>
      <c r="D147" s="85"/>
      <c r="E147" s="84"/>
      <c r="F147" s="79"/>
    </row>
    <row r="148" spans="1:6" x14ac:dyDescent="0.25">
      <c r="A148" s="83" t="s">
        <v>272</v>
      </c>
      <c r="B148" s="82" t="s">
        <v>271</v>
      </c>
      <c r="C148" s="81"/>
      <c r="D148" s="81"/>
      <c r="E148" s="80" t="s">
        <v>268</v>
      </c>
      <c r="F148" s="79"/>
    </row>
    <row r="149" spans="1:6" x14ac:dyDescent="0.25">
      <c r="A149" s="78" t="s">
        <v>270</v>
      </c>
      <c r="B149" s="77" t="s">
        <v>269</v>
      </c>
      <c r="C149" s="76" t="s">
        <v>268</v>
      </c>
      <c r="D149" s="75"/>
      <c r="E149" s="74"/>
      <c r="F149" s="73"/>
    </row>
  </sheetData>
  <pageMargins left="0.7" right="0.7" top="0.75" bottom="0.75" header="0.3" footer="0.3"/>
  <pageSetup orientation="portrait"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ASCII Control</vt:lpstr>
      <vt:lpstr>Bin-Dec-Hex</vt:lpstr>
      <vt:lpstr>Constants</vt:lpstr>
      <vt:lpstr>File Extensions</vt:lpstr>
      <vt:lpstr>Letters</vt:lpstr>
      <vt:lpstr>Measurements</vt:lpstr>
      <vt:lpstr>Modifiers</vt:lpstr>
      <vt:lpstr>Operators</vt:lpstr>
      <vt:lpstr>Ports</vt:lpstr>
      <vt:lpstr>Random Data</vt:lpstr>
      <vt:lpstr>Special Characters</vt:lpstr>
      <vt:lpstr>Subnetting</vt:lpstr>
      <vt:lpstr>...CIDR Addressing</vt:lpstr>
      <vt:lpstr>Sudoku Blank</vt:lpstr>
      <vt:lpstr>VB Keywords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2020-07-22T20:10:29Z</dcterms:modified>
</cp:coreProperties>
</file>